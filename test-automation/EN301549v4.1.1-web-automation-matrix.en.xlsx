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github\a11y-best-practices\test-automation\"/>
    </mc:Choice>
  </mc:AlternateContent>
  <xr:revisionPtr revIDLastSave="0" documentId="13_ncr:1_{A8ACA6D8-A9FB-4F41-9536-57C20B41F4A1}" xr6:coauthVersionLast="47" xr6:coauthVersionMax="47" xr10:uidLastSave="{00000000-0000-0000-0000-000000000000}"/>
  <bookViews>
    <workbookView xWindow="10718" yWindow="0" windowWidth="10965" windowHeight="13763" activeTab="1" xr2:uid="{00000000-000D-0000-FFFF-FFFF00000000}"/>
  </bookViews>
  <sheets>
    <sheet name="Foreword" sheetId="1" r:id="rId1"/>
    <sheet name="Web" sheetId="21" r:id="rId2"/>
    <sheet name="HdM Scale" sheetId="20" r:id="rId3"/>
    <sheet name="References" sheetId="19" r:id="rId4"/>
  </sheets>
  <definedNames>
    <definedName name="_xlnm._FilterDatabase" localSheetId="1" hidden="1">Web!$A$1:$C$193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5" i="21" l="1"/>
  <c r="G195" i="21"/>
  <c r="H195" i="21"/>
  <c r="I195" i="21"/>
  <c r="J195" i="21"/>
  <c r="E195" i="21"/>
  <c r="F195" i="21"/>
  <c r="D196" i="21"/>
  <c r="G196" i="21"/>
  <c r="H196" i="21"/>
  <c r="I196" i="21"/>
  <c r="J196" i="21"/>
  <c r="E196" i="21"/>
  <c r="F196" i="21"/>
  <c r="D198" i="21"/>
  <c r="G198" i="21"/>
  <c r="H198" i="21"/>
  <c r="I198" i="21"/>
  <c r="J198" i="21"/>
  <c r="E198" i="21"/>
  <c r="F198" i="21"/>
  <c r="F200" i="21" s="1"/>
  <c r="D200" i="21"/>
  <c r="H200" i="21"/>
  <c r="I200" i="21"/>
  <c r="J200" i="21"/>
  <c r="D201" i="21"/>
  <c r="H201" i="21"/>
  <c r="I201" i="21"/>
  <c r="J201" i="21"/>
  <c r="E201" i="21"/>
  <c r="B199" i="21"/>
  <c r="C198" i="21"/>
  <c r="B198" i="21"/>
  <c r="B197" i="21"/>
  <c r="C196" i="21"/>
  <c r="B196" i="21"/>
  <c r="C195" i="21"/>
  <c r="B195" i="21"/>
  <c r="F201" i="21" l="1"/>
  <c r="E200" i="21"/>
  <c r="G200" i="21"/>
  <c r="G201" i="21"/>
  <c r="B200" i="21"/>
  <c r="B201" i="21" s="1"/>
  <c r="C201" i="21"/>
  <c r="C200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Gottfried Zimmermann</author>
    <author>tc={DF04F804-CA5D-457D-91C0-036EC37BBEC4}</author>
  </authors>
  <commentList>
    <comment ref="A1" authorId="0" shapeId="0" xr:uid="{6117CE56-4198-4862-A74E-673F452AA1E0}">
      <text>
        <r>
          <rPr>
            <b/>
            <sz val="9"/>
            <color indexed="81"/>
            <rFont val="Segoe UI"/>
            <family val="2"/>
          </rPr>
          <t>https://www.etsi.org/deliver/etsi_en/301500_301599/301549/04.01.00_30/en_301549v040100va.pdf</t>
        </r>
      </text>
    </comment>
    <comment ref="A62" authorId="0" shapeId="0" xr:uid="{7709ABEF-3B3C-477B-9713-F830E16DD6DB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min. 3 x 30 characters per second</t>
        </r>
      </text>
    </comment>
    <comment ref="B89" authorId="1" shapeId="0" xr:uid="{DF04F804-CA5D-457D-91C0-036EC37BBEC4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In WAD ausgenommen
</t>
      </text>
    </comment>
    <comment ref="B187" authorId="0" shapeId="0" xr:uid="{4661A8DC-EB53-4730-9476-B1F48D3A5A6D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Hier werden Ausnahmen aufgeführt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Gottfried Zimmermann</author>
  </authors>
  <commentList>
    <comment ref="C5" authorId="0" shapeId="0" xr:uid="{4340225E-0A54-4AFE-B75A-83F4074D0022}">
      <text>
        <r>
          <rPr>
            <b/>
            <sz val="9"/>
            <color indexed="81"/>
            <rFont val="Segoe UI"/>
            <charset val="1"/>
          </rPr>
          <t>Gottfried Zimmermann:</t>
        </r>
        <r>
          <rPr>
            <sz val="9"/>
            <color indexed="81"/>
            <rFont val="Segoe UI"/>
            <charset val="1"/>
          </rPr>
          <t xml:space="preserve">
True negatives are ignored for the purpose of averaging over multiple instances of criteria applications.</t>
        </r>
      </text>
    </comment>
  </commentList>
</comments>
</file>

<file path=xl/sharedStrings.xml><?xml version="1.0" encoding="utf-8"?>
<sst xmlns="http://schemas.openxmlformats.org/spreadsheetml/2006/main" count="701" uniqueCount="282">
  <si>
    <t>5.1.2.1 Closed functionality</t>
  </si>
  <si>
    <t>shall</t>
  </si>
  <si>
    <t>5.1.2.2 Assistive technology and closed functionality</t>
  </si>
  <si>
    <t>5.1.3.1 Auditory output of visual information</t>
  </si>
  <si>
    <t>5.1.3.2 Auditory output delivery including speech</t>
  </si>
  <si>
    <t>5.1.3.3 Auditory output correlation</t>
  </si>
  <si>
    <t>5.1.3.4 Speech output user control</t>
  </si>
  <si>
    <t>5.1.3.5 Speech output automatic interruption</t>
  </si>
  <si>
    <t>5.1.3.6 Auditory output for non-text content</t>
  </si>
  <si>
    <t>5.1.3.7 Auditory output for video information</t>
  </si>
  <si>
    <t>5.1.3.8 Masked entry</t>
  </si>
  <si>
    <t>5.1.3.9 Private access to personal data</t>
  </si>
  <si>
    <t>5.1.3.10 Non-interfering audio output</t>
  </si>
  <si>
    <t>5.1.3.11 Private listening volume</t>
  </si>
  <si>
    <t>5.1.3.12 Speaker volume</t>
  </si>
  <si>
    <t>5.1.3.13 Volume reset</t>
  </si>
  <si>
    <t>5.1.3.14 Spoken languages</t>
  </si>
  <si>
    <t>5.1.3.15 Non-visual error identification</t>
  </si>
  <si>
    <t>5.1.3.16 Receipts, tickets, and transactional outputs</t>
  </si>
  <si>
    <t>5.1.4 Functionality closed to text enlargement</t>
  </si>
  <si>
    <t>5.1.5 Visual output for auditory information</t>
  </si>
  <si>
    <t>5.1.6.1 Functionality closed to keyboards</t>
  </si>
  <si>
    <t>5.1.6.2 Input focus</t>
  </si>
  <si>
    <t>5.1.7 Access without speech</t>
  </si>
  <si>
    <t>5.1.8 Identify input purpose (closed functionality)</t>
  </si>
  <si>
    <t>5.2 Activation of accessibility features</t>
  </si>
  <si>
    <t>5.3 Biometrics</t>
  </si>
  <si>
    <t>5.4 Preservation of accessibility information during conversion</t>
  </si>
  <si>
    <t>5.6.1 Tactile or auditory status</t>
  </si>
  <si>
    <t>5.6.2 Visual status</t>
  </si>
  <si>
    <t>5.7 Key repeat</t>
  </si>
  <si>
    <t>5.8 Double-strike key acceptance</t>
  </si>
  <si>
    <t>5.9 Simultaneous user actions</t>
  </si>
  <si>
    <t>5.10.1 Content technology</t>
  </si>
  <si>
    <t xml:space="preserve">5.10.2 Accessible content creation </t>
  </si>
  <si>
    <t>5.10.3 Preservation of accessibility information in transformations</t>
  </si>
  <si>
    <t>5.10.4 Repair assistance</t>
  </si>
  <si>
    <t>5.10.5 Templates</t>
  </si>
  <si>
    <t xml:space="preserve">6.0.2 Communication client </t>
  </si>
  <si>
    <t>6.0.3 Communication system</t>
  </si>
  <si>
    <t>6.0.4 System connecting to another communication system</t>
  </si>
  <si>
    <t>6.0.5 System with roaming visiting client</t>
  </si>
  <si>
    <t>6.0.6 Client in emergency communications</t>
  </si>
  <si>
    <t xml:space="preserve">6.0.7 Emergency communications </t>
  </si>
  <si>
    <t>6.0.8 System with roaming visiting client in an emergency</t>
  </si>
  <si>
    <t>6.0.9 System with client in emergency visiting another country</t>
  </si>
  <si>
    <t>6.1.1 Voice communication interoperability</t>
  </si>
  <si>
    <t xml:space="preserve">6.1.2 Audio bandwidth for capture and presentation for voice communication </t>
  </si>
  <si>
    <t>6.1.3 Audio presentation in attached listening devices for voice communication (recommendation)</t>
  </si>
  <si>
    <t>6.1.4 Synchronization of subtitles (recommendation)</t>
  </si>
  <si>
    <t>6.2.1.1 RTT functionality</t>
  </si>
  <si>
    <t>6.2.1.2 Concurrent voice and RTT</t>
  </si>
  <si>
    <t>6.2.1.3 Single user action</t>
  </si>
  <si>
    <t>6.2.2.1 Distinguishable display</t>
  </si>
  <si>
    <t>6.2.2.2 Active communicator indication</t>
  </si>
  <si>
    <t>6.2.2.3 Indication of audio with RTT</t>
  </si>
  <si>
    <t>6.2.2.4 Presentation of relative time order of text</t>
  </si>
  <si>
    <t>6.2.2.5 Review of RTT communication contents</t>
  </si>
  <si>
    <t>6.2.3 DTMF touch-tone generation during RTT operations</t>
  </si>
  <si>
    <t>6.2.4 RTT responsiveness</t>
  </si>
  <si>
    <t>6.2.5 Adding and erasing of RTT input</t>
  </si>
  <si>
    <t>6.2.6 Processing rate of RTT</t>
  </si>
  <si>
    <t>6.2.7 Character representation</t>
  </si>
  <si>
    <t>6.2.8 RTT input methods</t>
  </si>
  <si>
    <t>6.2.9 RTT media establishment and use</t>
  </si>
  <si>
    <t>6.3 Caller ID</t>
  </si>
  <si>
    <t>6.4 Alternatives to voice-based services</t>
  </si>
  <si>
    <t>6.5.2 Resolution</t>
  </si>
  <si>
    <t>6.5.3 Frame rate</t>
  </si>
  <si>
    <t>6.5.4 Synchronization between audio and video</t>
  </si>
  <si>
    <t>6.5.5 Indicator of audio with video</t>
  </si>
  <si>
    <t>6.6 Alternatives to video-based services (recommendation)</t>
  </si>
  <si>
    <t>6.7.1 Total conversation provision</t>
  </si>
  <si>
    <t>6.7.2 Total conversation interoperability</t>
  </si>
  <si>
    <t>7.1.1 Subtitle playback</t>
  </si>
  <si>
    <t>7.1.2 Subtitle synchronization</t>
  </si>
  <si>
    <t>7.1.3 Preservation of subtitles</t>
  </si>
  <si>
    <t xml:space="preserve">7.1.4 Subtitle characteristics </t>
  </si>
  <si>
    <t>7.1.5 Spoken subtitles</t>
  </si>
  <si>
    <t>7.2.1 Audio description playback</t>
  </si>
  <si>
    <t>7.2.2 Audio description synchronization</t>
  </si>
  <si>
    <t>7.2.3 Preservation of audio description</t>
  </si>
  <si>
    <t>7.3 User control of audiovisual accessibility features</t>
  </si>
  <si>
    <t>9.1.1.1 Non-text content</t>
  </si>
  <si>
    <t>9.1.2.1 Audio-only and video-only (pre-recorded)</t>
  </si>
  <si>
    <t>9.1.2.2 Subtitles (pre-recorded)</t>
  </si>
  <si>
    <t>9.1.2.3 Audio description or media alternative (pre-recorded)</t>
  </si>
  <si>
    <t>9.1.2.4 Subtitles (live)</t>
  </si>
  <si>
    <t>9.1.2.5 Audio description (pre-recorded)</t>
  </si>
  <si>
    <t>9.1.3.1 Info and relationships</t>
  </si>
  <si>
    <t>9.1.3.2 Meaningful sequence</t>
  </si>
  <si>
    <t>9.1.3.3 Sensory characteristics</t>
  </si>
  <si>
    <t>9.1.3.4 Orientation</t>
  </si>
  <si>
    <t>9.1.3.5 Identify input purpose</t>
  </si>
  <si>
    <t>9.1.4.1 Use of colour</t>
  </si>
  <si>
    <t>9.1.4.2 Audio control</t>
  </si>
  <si>
    <t>9.1.4.3 Contrast (minimum)</t>
  </si>
  <si>
    <t>9.1.4.4 Resize text</t>
  </si>
  <si>
    <t>9.1.4.5 Images of text</t>
  </si>
  <si>
    <t>9.1.4.10 Reflow</t>
  </si>
  <si>
    <t>9.1.4.11 Non-text contrast</t>
  </si>
  <si>
    <t>9.1.4.12 Text spacing</t>
  </si>
  <si>
    <t>9.1.4.13 Content on hover or focus</t>
  </si>
  <si>
    <t>9.2.1.1 Keyboard</t>
  </si>
  <si>
    <t>9.2.1.2 No keyboard trap</t>
  </si>
  <si>
    <t>9.2.1.4 Character key shortcuts</t>
  </si>
  <si>
    <t>9.2.2.1 Timing adjustable</t>
  </si>
  <si>
    <t>9.2.2.2 Pause, stop, hide</t>
  </si>
  <si>
    <t>9.2.3.1 Three flashes or below threshold</t>
  </si>
  <si>
    <t>9.2.4.1 Bypass blocks</t>
  </si>
  <si>
    <t>9.2.4.2 Page titled</t>
  </si>
  <si>
    <t>9.2.4.3 Focus order</t>
  </si>
  <si>
    <t>9.2.4.4 Link purpose (in context)</t>
  </si>
  <si>
    <t>9.2.4.5 Multiple ways</t>
  </si>
  <si>
    <t>9.2.4.6 Headings and labels</t>
  </si>
  <si>
    <t>9.2.4.7 Focus visible</t>
  </si>
  <si>
    <t>9.2.4.11 Focus not obscured (minimum)</t>
  </si>
  <si>
    <t>9.2.5.1 Pointer gestures</t>
  </si>
  <si>
    <t>9.2.5.2 Pointer cancellation</t>
  </si>
  <si>
    <t>9.2.5.3 Label in name</t>
  </si>
  <si>
    <t>9.2.5.4 Motion actuation</t>
  </si>
  <si>
    <t>9.2.5.7 Dragging movements</t>
  </si>
  <si>
    <t>9.2.5.8 Target size (minimum)</t>
  </si>
  <si>
    <t>9.3.1.1 Language of page</t>
  </si>
  <si>
    <t>9.3.1.2 Language of parts</t>
  </si>
  <si>
    <t>9.3.2.1 On focus</t>
  </si>
  <si>
    <t>9.3.2.2 On input</t>
  </si>
  <si>
    <t>9.3.2.3 Consistent navigation</t>
  </si>
  <si>
    <t>9.3.2.4 Consistent identification</t>
  </si>
  <si>
    <t>9.3.2.6 Consistent help</t>
  </si>
  <si>
    <t>9.3.3.1 Error identification</t>
  </si>
  <si>
    <t>9.3.3.2 Labels or instructions</t>
  </si>
  <si>
    <t>9.3.3.3 Error suggestion</t>
  </si>
  <si>
    <t>9.3.3.4 Error prevention (legal, financial, data)</t>
  </si>
  <si>
    <t>9.3.3.7 Redundant entry</t>
  </si>
  <si>
    <t>9.3.3.8 Accessible authentication (minimum)</t>
  </si>
  <si>
    <t>9.4.1.2 Name, role, value</t>
  </si>
  <si>
    <t>9.4.1.3 Status messages</t>
  </si>
  <si>
    <t>9.6 WCAG conformance requirements</t>
  </si>
  <si>
    <t>9.7 User preferences for web pages</t>
  </si>
  <si>
    <t>should</t>
  </si>
  <si>
    <t xml:space="preserve">12.1 Accessible information about products </t>
  </si>
  <si>
    <t>12.2 Accessible information about services</t>
  </si>
  <si>
    <t>12.3 Accessibility and compatibility features</t>
  </si>
  <si>
    <t>12.4 Electronic program guides</t>
  </si>
  <si>
    <t>12.5 Electronic program guide display</t>
  </si>
  <si>
    <t>13.1.2.2 Use of the primary user destination address in relayed communications</t>
  </si>
  <si>
    <t>13.1.2.3 Conveying of caller identifier in relayed communications for primary relay users</t>
  </si>
  <si>
    <t>13.1.2.4 Relay service invocation decision in outgoing communications</t>
  </si>
  <si>
    <t>13.1.2.5 Relay service invocation decision in incoming communications</t>
  </si>
  <si>
    <t>13.1.2.6 Relay service support requested by the primary user for emergency communications</t>
  </si>
  <si>
    <t>13.1.3.1 Relaying action in relay service communication</t>
  </si>
  <si>
    <t>13.1.3.2 Media handling in relay service communication</t>
  </si>
  <si>
    <t>13.1.3.3 Relay service support in ICT based conferences</t>
  </si>
  <si>
    <t>13.1.3.4 Relay service support during emergency communications initiated by the PSAP</t>
  </si>
  <si>
    <t>14.2 Special states</t>
  </si>
  <si>
    <t>14.3 One mode</t>
  </si>
  <si>
    <t xml:space="preserve">BITV§4a Gebärdensprache </t>
  </si>
  <si>
    <t>BITV20</t>
  </si>
  <si>
    <t xml:space="preserve">BITV§4b Leichte Sprache </t>
  </si>
  <si>
    <t>BITV§7 Erklärung zur Barrierefreiheit</t>
  </si>
  <si>
    <t>PDF/UA</t>
  </si>
  <si>
    <t>Criteria from EN 301 549 v4.1.0 (2026-06)</t>
  </si>
  <si>
    <t>Source: https://www.etsi.org/deliver/etsi_en/301500_301599/301549/04.01.00_20/en_301549v040100ev.pdf</t>
  </si>
  <si>
    <t>Please do NOT save this file in OpenOffice or LibreOffice - it may get corrupted</t>
  </si>
  <si>
    <t>axe-core</t>
  </si>
  <si>
    <t>Berg (2025)
Kopp (2025)</t>
  </si>
  <si>
    <t>Berg (2025)</t>
  </si>
  <si>
    <t>Frankenfeld (2026)</t>
  </si>
  <si>
    <t>Kopp (2025)
Frankenfeld (2026)</t>
  </si>
  <si>
    <t>Team</t>
  </si>
  <si>
    <t>Kopp (2025)</t>
  </si>
  <si>
    <t>Caroline Kopp. (2025, Februar 10). Einsatzpotenziale von Large Language Models zur Verbesserung der Barrierefreiheit im automatisierten Website-Testing. Bachelorthesis. https://nbn-resolving.org/urn:nbn:de:bsz:900-opus4-72446</t>
  </si>
  <si>
    <t>Kira Helen Frankenfeld. (2026, Juni 1). KI-gestützte multimodale Prüfmethoden zur automatisierten Barrierefreiheitsprüfung von Webseiten. https://nbn-resolving.org/urn:nbn:de:bsz:900-opus4-73472</t>
  </si>
  <si>
    <t>Röhrle (2026)</t>
  </si>
  <si>
    <t>Self-claim, deque (2026)</t>
  </si>
  <si>
    <t>Value</t>
  </si>
  <si>
    <t>True positive, with correct location information</t>
  </si>
  <si>
    <t>True positive, no or incorrect location information</t>
  </si>
  <si>
    <t>False positive, with relevant location information</t>
  </si>
  <si>
    <t>Factor 0.5 for warnings (rather than errors)</t>
  </si>
  <si>
    <t>In addition, the following relevant confusion matrix scores should be documented:</t>
  </si>
  <si>
    <t>Accuracy</t>
  </si>
  <si>
    <t>Precision</t>
  </si>
  <si>
    <t>F1-Score</t>
  </si>
  <si>
    <t>See Wikipedia (2026). Confusion Matrix</t>
  </si>
  <si>
    <t>Sabrina Berg. (2025, September 29). Large Language Model unterstützte Barrierefreiheitsprüfung für Websites—Analyse und proof of concept. https://nbn-resolving.org/urn:nbn:de:bsz:900-opus4-73046
 * 9.1.1.1: F1-Score=nn; Precision=…; Accuracy; HdM scale=</t>
  </si>
  <si>
    <t>English titles v4.1.0 as of 2026-06 final draft for vote</t>
  </si>
  <si>
    <t>Level in v4.1.0</t>
  </si>
  <si>
    <t>Easy Web Check V1</t>
  </si>
  <si>
    <t>Easy Web Check V2</t>
  </si>
  <si>
    <t>axe Monitoring</t>
  </si>
  <si>
    <t>A11yplan</t>
  </si>
  <si>
    <t>Eye-Able Monitoring</t>
  </si>
  <si>
    <t>Theses at HdM</t>
  </si>
  <si>
    <t>manuell</t>
  </si>
  <si>
    <t>nicht abgedeckt</t>
  </si>
  <si>
    <t>6.5.6 Speaker identification with video (sign language) communication</t>
  </si>
  <si>
    <t> </t>
  </si>
  <si>
    <t>Kalkan (2026): R=1; P=1; F1=1</t>
  </si>
  <si>
    <t>A</t>
  </si>
  <si>
    <t>Images Bookmarklet, Siteimprove Accessibility Checker</t>
  </si>
  <si>
    <t>Images Bookmarklet, Siteimprove Accessibility Checker (teilweise geprüft)</t>
  </si>
  <si>
    <t>Kalkan (2026): R=0,5; P=1; F1=0,67</t>
  </si>
  <si>
    <t>AA</t>
  </si>
  <si>
    <t>9.1.2.6 Sign Language (Prerecorded)</t>
  </si>
  <si>
    <t>AAA</t>
  </si>
  <si>
    <t>9.1.2.7 Extended Audio Description (Prerecorded)</t>
  </si>
  <si>
    <t>9.1.2.8 Media Alternative (Prerecorded)</t>
  </si>
  <si>
    <t>9.1.2.9 Audio-only (Live)</t>
  </si>
  <si>
    <t>Autocomplete Attribute Favlet</t>
  </si>
  <si>
    <t>Bookmarklet "Inhalte gegliedert", Bookmarklet "Lists", Bookmarklet "Tables", Siteimprove Accessibility Checker, manuell für Formularfelder</t>
  </si>
  <si>
    <t>Bookmarklet "Inhalte gegliedert", Bookmarklet "Lists", Bookmarklet "Tables", Siteimprove Accessibility Checker, manuell</t>
  </si>
  <si>
    <t>Kalkan (2026): R=0,04; P=1; F1=0,08</t>
  </si>
  <si>
    <t>Kalkan (2026): R=0,28; P=0,58; F1=0,38</t>
  </si>
  <si>
    <t>9.1.3.6 Identify Purpose</t>
  </si>
  <si>
    <t>Web Developer</t>
  </si>
  <si>
    <t>Siteimprove Accessibility Checker</t>
  </si>
  <si>
    <t>Kalkan (2026): R=0,2; P=0,5; F1=0,29</t>
  </si>
  <si>
    <t>WCAG Color Contrast Checker, Siteimprove Accessibility Checker</t>
  </si>
  <si>
    <t>Kalkan (2026): R=0,89; P=1; F1=0,94</t>
  </si>
  <si>
    <t>Kalkan (2026): R=0,84; P=1; F1=0,91</t>
  </si>
  <si>
    <t>Siteimprove Accessibility Checker, Web Developer, manuell</t>
  </si>
  <si>
    <t>Kalkan (2026): R=0,75; P=1; F1=0,86</t>
  </si>
  <si>
    <t>9.1.4.6 Contrast (Enhanced)</t>
  </si>
  <si>
    <t>9.1.4.7 Low or No Background Audio</t>
  </si>
  <si>
    <t>9.1.4.8 Visual Presentation</t>
  </si>
  <si>
    <t>9.1.4.9 Images of Text (No Exception)</t>
  </si>
  <si>
    <t>TPGi Color Contrast Analyser</t>
  </si>
  <si>
    <t>Bookmarklet Textabstände</t>
  </si>
  <si>
    <t>Siteimprove Accessibility Checker, manuell</t>
  </si>
  <si>
    <t>tab11y, manuell</t>
  </si>
  <si>
    <t>9.2.1.3 Keyboard (No Exception)</t>
  </si>
  <si>
    <t>9.2.2.3 No Timing</t>
  </si>
  <si>
    <t>9.2.2.4 Interruptions</t>
  </si>
  <si>
    <t>9.2.2.5 Re-authenticating</t>
  </si>
  <si>
    <t>"Lang" Bookmarklet</t>
  </si>
  <si>
    <t>9.2.2.6 Timeouts</t>
  </si>
  <si>
    <t>9.2.3.2 Three Flashes</t>
  </si>
  <si>
    <t>9.2.3.3 Animation from Interactions</t>
  </si>
  <si>
    <t>Landmarks</t>
  </si>
  <si>
    <t>taba11y, manuell</t>
  </si>
  <si>
    <t>taba11y</t>
  </si>
  <si>
    <t>Kalkan (2026): R=0,67; P=0,33; F1=0,44</t>
  </si>
  <si>
    <t>Kalkan (2026): R=0,25; P=1; F1=0,4</t>
  </si>
  <si>
    <t>9.2.4.8 Location</t>
  </si>
  <si>
    <t>9.2.4.9 Link Purpose (Link Only)</t>
  </si>
  <si>
    <t>9.2.4.10 Section Headings</t>
  </si>
  <si>
    <t>9.2.4.12 Focus Not Obscured (Enhanced)</t>
  </si>
  <si>
    <t>9.2.4.13 Focus Appearance</t>
  </si>
  <si>
    <t>9.2.5.5 Target Size (Enhanced)</t>
  </si>
  <si>
    <t>9.2.5.6 Concurrent Input Mechanisms</t>
  </si>
  <si>
    <t>Kalkan (2026): R=0,68; P=1; F1=0,81</t>
  </si>
  <si>
    <t>9.3.1.3 Unusual Words</t>
  </si>
  <si>
    <t>9.3.1.4 Abbreviations</t>
  </si>
  <si>
    <t>9.3.1.5 Reading Level</t>
  </si>
  <si>
    <t>manuell (nur Vorhandensein)</t>
  </si>
  <si>
    <t>9.3.1.6 Pronunciation</t>
  </si>
  <si>
    <t>9.3.2.5 Change on Request</t>
  </si>
  <si>
    <t>9.3.3.5 Help</t>
  </si>
  <si>
    <t>9.3.3.6 Error Prevention (All)</t>
  </si>
  <si>
    <t>9.3.3.9 Accessible Authentication (Enhanced)</t>
  </si>
  <si>
    <t>manuell (teilweise geprüft)</t>
  </si>
  <si>
    <t>"Höchstmögliches Maß an Barrierefreiheit"</t>
  </si>
  <si>
    <t>Sum for (A)</t>
  </si>
  <si>
    <t>Sum for (AA)</t>
  </si>
  <si>
    <t>Sum for (AAA)</t>
  </si>
  <si>
    <t>Sum for (should)</t>
  </si>
  <si>
    <t>Sum for (shall)</t>
  </si>
  <si>
    <t>WAVE</t>
  </si>
  <si>
    <t>miCheck</t>
  </si>
  <si>
    <t>Accessibility Insights</t>
  </si>
  <si>
    <t>Föll (2026):ja</t>
  </si>
  <si>
    <t>False negative</t>
  </si>
  <si>
    <t>Meaning wrt positives</t>
  </si>
  <si>
    <t>Meaning wrt negatives</t>
  </si>
  <si>
    <t>False positive, with no or irrelevant/false location information</t>
  </si>
  <si>
    <t>This scale is understood as interval scale, i.e. arithmetic means can be computed.</t>
  </si>
  <si>
    <t>(True negatives)</t>
  </si>
  <si>
    <t>Ahmet Kalkan. (2026, Juli 7). Eine Vergleichsstudie über Monitoring-Systeme zur Überprüfung von Webseiten auf Barrierefreiheit. Bachelorthesis [Bachelorthesis]. Hochschule der Medien Stuttgart. https://nbn-resolving.org/urn:nbn:de:bsz:900-opus4-73568</t>
  </si>
  <si>
    <t>Easy-Web-Check + Innovation Project</t>
  </si>
  <si>
    <t>Röhrle (2027)?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</si>
</sst>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2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indexed="65"/>
      <name val="Calibri"/>
      <family val="2"/>
    </font>
    <font>
      <b/>
      <sz val="11"/>
      <color theme="9" tint="-0.249977111117893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rgb="FF806000"/>
      <name val="Calibri"/>
      <family val="2"/>
    </font>
    <font>
      <sz val="11"/>
      <color rgb="FF9C0006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theme="9" tint="0.59999389629810485"/>
      </patternFill>
    </fill>
    <fill>
      <patternFill patternType="solid">
        <fgColor rgb="FFFFE699"/>
        <bgColor rgb="FFFFE699"/>
      </patternFill>
    </fill>
    <fill>
      <patternFill patternType="solid">
        <fgColor rgb="FFC00000"/>
        <bgColor rgb="FFC00000"/>
      </patternFill>
    </fill>
    <fill>
      <patternFill patternType="solid">
        <fgColor rgb="FFC6E0B4"/>
        <bgColor rgb="FFC6E0B4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rgb="FFFFC7CE"/>
        <bgColor rgb="FFFFC7CE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0" fontId="6" fillId="0" borderId="0" applyNumberFormat="0" applyFill="0" applyBorder="0"/>
    <xf numFmtId="0" fontId="11" fillId="0" borderId="0"/>
    <xf numFmtId="9" fontId="11" fillId="0" borderId="0" applyFont="0" applyFill="0" applyBorder="0"/>
    <xf numFmtId="0" fontId="20" fillId="7" borderId="0" applyNumberFormat="0" applyBorder="0"/>
  </cellStyleXfs>
  <cellXfs count="77">
    <xf numFmtId="0" fontId="0" fillId="0" borderId="0" xfId="0"/>
    <xf numFmtId="0" fontId="7" fillId="0" borderId="0" xfId="0" applyFont="1"/>
    <xf numFmtId="0" fontId="8" fillId="0" borderId="0" xfId="0" applyFont="1" applyAlignment="1">
      <alignment horizontal="center" wrapText="1"/>
    </xf>
    <xf numFmtId="0" fontId="0" fillId="0" borderId="3" xfId="0" applyBorder="1" applyAlignment="1">
      <alignment horizontal="center" textRotation="90" wrapText="1"/>
    </xf>
    <xf numFmtId="0" fontId="6" fillId="0" borderId="0" xfId="1" applyAlignment="1">
      <alignment wrapText="1"/>
    </xf>
    <xf numFmtId="0" fontId="0" fillId="0" borderId="0" xfId="0" applyAlignment="1">
      <alignment wrapText="1"/>
    </xf>
    <xf numFmtId="0" fontId="10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0" fillId="0" borderId="2" xfId="0" applyBorder="1"/>
    <xf numFmtId="0" fontId="6" fillId="0" borderId="0" xfId="1"/>
    <xf numFmtId="0" fontId="14" fillId="0" borderId="2" xfId="0" applyFont="1" applyBorder="1" applyAlignment="1">
      <alignment wrapText="1"/>
    </xf>
    <xf numFmtId="1" fontId="15" fillId="0" borderId="2" xfId="3" applyNumberFormat="1" applyFont="1" applyBorder="1" applyAlignment="1">
      <alignment horizontal="center" textRotation="90" wrapText="1"/>
    </xf>
    <xf numFmtId="1" fontId="15" fillId="0" borderId="3" xfId="3" applyNumberFormat="1" applyFont="1" applyBorder="1" applyAlignment="1">
      <alignment horizontal="center" textRotation="90" wrapText="1"/>
    </xf>
    <xf numFmtId="1" fontId="5" fillId="0" borderId="2" xfId="3" applyNumberFormat="1" applyFont="1" applyFill="1" applyBorder="1" applyAlignment="1">
      <alignment horizontal="center" textRotation="90" wrapText="1"/>
    </xf>
    <xf numFmtId="0" fontId="13" fillId="0" borderId="0" xfId="0" applyFont="1"/>
    <xf numFmtId="0" fontId="5" fillId="0" borderId="1" xfId="0" applyFont="1" applyBorder="1"/>
    <xf numFmtId="0" fontId="0" fillId="0" borderId="0" xfId="0" applyAlignment="1">
      <alignment horizontal="center"/>
    </xf>
    <xf numFmtId="0" fontId="0" fillId="0" borderId="1" xfId="0" applyBorder="1"/>
    <xf numFmtId="0" fontId="5" fillId="0" borderId="0" xfId="2" applyFont="1"/>
    <xf numFmtId="0" fontId="11" fillId="0" borderId="0" xfId="2"/>
    <xf numFmtId="0" fontId="15" fillId="3" borderId="1" xfId="0" applyFont="1" applyFill="1" applyBorder="1" applyAlignment="1">
      <alignment horizontal="left"/>
    </xf>
    <xf numFmtId="0" fontId="5" fillId="0" borderId="0" xfId="0" applyFont="1" applyAlignment="1">
      <alignment wrapText="1"/>
    </xf>
    <xf numFmtId="0" fontId="15" fillId="0" borderId="0" xfId="0" applyFont="1" applyAlignment="1">
      <alignment horizontal="left"/>
    </xf>
    <xf numFmtId="0" fontId="16" fillId="4" borderId="1" xfId="0" applyFont="1" applyFill="1" applyBorder="1" applyAlignment="1">
      <alignment horizontal="left"/>
    </xf>
    <xf numFmtId="0" fontId="17" fillId="0" borderId="0" xfId="0" applyFont="1"/>
    <xf numFmtId="0" fontId="18" fillId="0" borderId="0" xfId="0" applyFont="1"/>
    <xf numFmtId="0" fontId="10" fillId="0" borderId="0" xfId="0" applyFont="1"/>
    <xf numFmtId="0" fontId="15" fillId="0" borderId="1" xfId="0" applyFont="1" applyBorder="1" applyAlignment="1">
      <alignment horizontal="left"/>
    </xf>
    <xf numFmtId="0" fontId="17" fillId="0" borderId="0" xfId="2" applyFont="1"/>
    <xf numFmtId="0" fontId="15" fillId="2" borderId="0" xfId="0" applyFont="1" applyFill="1" applyAlignment="1">
      <alignment horizontal="left"/>
    </xf>
    <xf numFmtId="0" fontId="15" fillId="5" borderId="1" xfId="0" applyFont="1" applyFill="1" applyBorder="1" applyAlignment="1">
      <alignment horizontal="left"/>
    </xf>
    <xf numFmtId="0" fontId="12" fillId="0" borderId="0" xfId="0" applyFont="1" applyAlignment="1">
      <alignment horizontal="left" vertical="center"/>
    </xf>
    <xf numFmtId="0" fontId="19" fillId="0" borderId="0" xfId="0" applyFont="1" applyAlignment="1">
      <alignment horizontal="left"/>
    </xf>
    <xf numFmtId="0" fontId="12" fillId="0" borderId="0" xfId="0" applyFont="1" applyAlignment="1">
      <alignment horizontal="left" vertical="center" wrapText="1"/>
    </xf>
    <xf numFmtId="0" fontId="9" fillId="0" borderId="0" xfId="0" applyFont="1"/>
    <xf numFmtId="0" fontId="15" fillId="2" borderId="1" xfId="0" applyFont="1" applyFill="1" applyBorder="1" applyAlignment="1">
      <alignment horizontal="left"/>
    </xf>
    <xf numFmtId="0" fontId="15" fillId="6" borderId="0" xfId="0" applyFont="1" applyFill="1" applyAlignment="1">
      <alignment horizontal="left"/>
    </xf>
    <xf numFmtId="0" fontId="21" fillId="0" borderId="0" xfId="2" applyFont="1"/>
    <xf numFmtId="0" fontId="13" fillId="0" borderId="1" xfId="0" applyFont="1" applyBorder="1"/>
    <xf numFmtId="0" fontId="10" fillId="0" borderId="1" xfId="0" applyFont="1" applyBorder="1"/>
    <xf numFmtId="0" fontId="12" fillId="0" borderId="1" xfId="0" applyFont="1" applyBorder="1"/>
    <xf numFmtId="0" fontId="12" fillId="0" borderId="0" xfId="0" applyFont="1"/>
    <xf numFmtId="0" fontId="15" fillId="6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3" xfId="0" applyBorder="1"/>
    <xf numFmtId="0" fontId="9" fillId="0" borderId="1" xfId="0" applyFont="1" applyBorder="1"/>
    <xf numFmtId="0" fontId="15" fillId="0" borderId="4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0" fillId="0" borderId="3" xfId="0" applyFont="1" applyBorder="1"/>
    <xf numFmtId="0" fontId="19" fillId="0" borderId="2" xfId="0" applyFont="1" applyBorder="1" applyAlignment="1">
      <alignment horizontal="center"/>
    </xf>
    <xf numFmtId="0" fontId="12" fillId="0" borderId="2" xfId="0" applyFont="1" applyBorder="1"/>
    <xf numFmtId="0" fontId="15" fillId="0" borderId="5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1" fontId="4" fillId="0" borderId="2" xfId="3" applyNumberFormat="1" applyFont="1" applyFill="1" applyBorder="1" applyAlignment="1">
      <alignment horizontal="center" textRotation="90" wrapText="1"/>
    </xf>
    <xf numFmtId="0" fontId="3" fillId="0" borderId="0" xfId="0" applyFont="1"/>
    <xf numFmtId="0" fontId="3" fillId="0" borderId="2" xfId="0" applyFont="1" applyBorder="1"/>
    <xf numFmtId="0" fontId="2" fillId="0" borderId="0" xfId="0" applyFont="1"/>
    <xf numFmtId="0" fontId="1" fillId="0" borderId="0" xfId="0" applyFont="1" applyAlignment="1">
      <alignment wrapText="1"/>
    </xf>
    <xf numFmtId="1" fontId="1" fillId="8" borderId="2" xfId="3" applyNumberFormat="1" applyFont="1" applyFill="1" applyBorder="1" applyAlignment="1">
      <alignment horizontal="center" textRotation="90" wrapText="1"/>
    </xf>
    <xf numFmtId="1" fontId="5" fillId="8" borderId="2" xfId="3" applyNumberFormat="1" applyFont="1" applyFill="1" applyBorder="1" applyAlignment="1">
      <alignment horizontal="center" textRotation="90" wrapText="1"/>
    </xf>
    <xf numFmtId="0" fontId="0" fillId="8" borderId="0" xfId="0" applyFill="1"/>
    <xf numFmtId="0" fontId="9" fillId="8" borderId="0" xfId="0" applyFont="1" applyFill="1" applyAlignment="1">
      <alignment horizontal="center" wrapText="1"/>
    </xf>
    <xf numFmtId="0" fontId="13" fillId="8" borderId="0" xfId="0" applyFont="1" applyFill="1" applyAlignment="1">
      <alignment horizontal="center" wrapText="1"/>
    </xf>
    <xf numFmtId="0" fontId="10" fillId="8" borderId="0" xfId="0" applyFont="1" applyFill="1"/>
    <xf numFmtId="0" fontId="13" fillId="8" borderId="0" xfId="0" applyFont="1" applyFill="1" applyAlignment="1">
      <alignment wrapText="1"/>
    </xf>
    <xf numFmtId="0" fontId="10" fillId="8" borderId="0" xfId="0" applyFont="1" applyFill="1" applyAlignment="1">
      <alignment wrapText="1"/>
    </xf>
    <xf numFmtId="0" fontId="13" fillId="8" borderId="0" xfId="0" applyFont="1" applyFill="1" applyAlignment="1">
      <alignment horizontal="center"/>
    </xf>
    <xf numFmtId="0" fontId="15" fillId="8" borderId="4" xfId="0" applyFont="1" applyFill="1" applyBorder="1" applyAlignment="1">
      <alignment horizontal="center"/>
    </xf>
    <xf numFmtId="0" fontId="15" fillId="8" borderId="0" xfId="0" applyFont="1" applyFill="1" applyAlignment="1">
      <alignment horizontal="center"/>
    </xf>
    <xf numFmtId="0" fontId="19" fillId="8" borderId="0" xfId="0" applyFont="1" applyFill="1" applyAlignment="1">
      <alignment horizontal="center"/>
    </xf>
    <xf numFmtId="0" fontId="19" fillId="8" borderId="2" xfId="0" applyFont="1" applyFill="1" applyBorder="1" applyAlignment="1">
      <alignment horizontal="center"/>
    </xf>
    <xf numFmtId="0" fontId="0" fillId="8" borderId="0" xfId="0" applyFill="1" applyAlignment="1">
      <alignment horizontal="center"/>
    </xf>
    <xf numFmtId="0" fontId="7" fillId="0" borderId="0" xfId="2" applyFont="1"/>
  </cellXfs>
  <cellStyles count="5">
    <cellStyle name="Link" xfId="1" builtinId="8"/>
    <cellStyle name="Prozent 2" xfId="3" xr:uid="{C7D308EA-F5A0-4B1B-A401-1FFE00438389}"/>
    <cellStyle name="Schlecht 2" xfId="4" xr:uid="{A048F85C-BAC1-409E-B867-86E7A253D553}"/>
    <cellStyle name="Standard" xfId="0" builtinId="0"/>
    <cellStyle name="Standard 2" xfId="2" xr:uid="{00000000-0005-0000-0000-000004000000}"/>
  </cellStyles>
  <dxfs count="16">
    <dxf>
      <font>
        <color theme="1"/>
      </font>
      <fill>
        <patternFill patternType="solid">
          <fgColor theme="7" tint="0.59996337778862885"/>
          <bgColor theme="7" tint="0.59996337778862885"/>
        </patternFill>
      </fill>
    </dxf>
    <dxf>
      <font>
        <color theme="1"/>
      </font>
      <fill>
        <patternFill patternType="solid">
          <fgColor theme="7" tint="0.59996337778862885"/>
          <bgColor theme="7" tint="0.59996337778862885"/>
        </patternFill>
      </fill>
    </dxf>
    <dxf>
      <font>
        <color theme="1"/>
      </font>
      <fill>
        <patternFill patternType="solid">
          <fgColor theme="7" tint="0.59996337778862885"/>
          <bgColor theme="7" tint="0.59996337778862885"/>
        </patternFill>
      </fill>
    </dxf>
    <dxf>
      <font>
        <color theme="1"/>
      </font>
      <fill>
        <patternFill patternType="solid">
          <fgColor theme="7" tint="0.59996337778862885"/>
          <bgColor theme="7" tint="0.5999633777886288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theme="1"/>
      </font>
      <fill>
        <patternFill patternType="solid">
          <fgColor theme="7" tint="0.59996337778862885"/>
          <bgColor theme="7" tint="0.59996337778862885"/>
        </patternFill>
      </fill>
    </dxf>
    <dxf>
      <font>
        <color theme="1"/>
      </font>
      <fill>
        <patternFill patternType="solid">
          <fgColor theme="7" tint="0.59996337778862885"/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Invisible" pivot="0" table="0" count="0" xr9:uid="{003BAB69-7210-4DF6-872B-259164A47C8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ottfried Zimmermann" id="{E4A97B6F-F8C9-4A40-BC2F-F4281416C5AC}" userId="89dddc6042953ddf" providerId="Windows Live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89" dT="2023-01-05T10:28:01.06" personId="{E4A97B6F-F8C9-4A40-BC2F-F4281416C5AC}" id="{DF04F804-CA5D-457D-91C0-036EC37BBEC4}">
    <text xml:space="preserve">In WAD ausgenommen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tsi.org/deliver/etsi_en/301500_301599/301549/04.01.00_20/en_301549v040100ev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s://en.wikipedia.org/wiki/Confusion_matri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B5" sqref="B5"/>
    </sheetView>
  </sheetViews>
  <sheetFormatPr baseColWidth="10" defaultColWidth="11.46484375" defaultRowHeight="14.25" x14ac:dyDescent="0.45"/>
  <cols>
    <col min="1" max="1" width="66" customWidth="1"/>
  </cols>
  <sheetData>
    <row r="1" spans="1:1" x14ac:dyDescent="0.45">
      <c r="A1" s="1" t="s">
        <v>162</v>
      </c>
    </row>
    <row r="2" spans="1:1" ht="42.75" x14ac:dyDescent="0.45">
      <c r="A2" s="4" t="s">
        <v>163</v>
      </c>
    </row>
    <row r="5" spans="1:1" x14ac:dyDescent="0.45">
      <c r="A5" s="2" t="s">
        <v>164</v>
      </c>
    </row>
  </sheetData>
  <hyperlinks>
    <hyperlink ref="A2" r:id="rId1" display="Quelle: https://www.etsi.org/deliver/etsi_en/301500_301599/301549/04.01.00_20/en_301549v040100ev.pdf" xr:uid="{89AF71F7-0C6A-426E-BC8D-6C02C41A6142}"/>
  </hyperlinks>
  <pageMargins left="0.7" right="0.7" top="0.78740157500000008" bottom="0.78740157500000008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DBFE1-9182-487E-B9F3-380D45B58EC5}">
  <dimension ref="A1:EL201"/>
  <sheetViews>
    <sheetView tabSelected="1" zoomScale="115" zoomScaleNormal="115" workbookViewId="0">
      <pane ySplit="1" topLeftCell="A103" activePane="bottomLeft" state="frozen"/>
      <selection pane="bottomLeft" activeCell="A112" sqref="A112"/>
    </sheetView>
  </sheetViews>
  <sheetFormatPr baseColWidth="10" defaultColWidth="11.46484375" defaultRowHeight="14.25" x14ac:dyDescent="0.45"/>
  <cols>
    <col min="1" max="1" width="46.46484375" customWidth="1"/>
    <col min="2" max="2" width="6" style="18" customWidth="1"/>
    <col min="3" max="3" width="7.86328125" customWidth="1"/>
    <col min="4" max="4" width="7.86328125" style="18" customWidth="1"/>
    <col min="5" max="6" width="11.265625" customWidth="1"/>
    <col min="7" max="8" width="12.46484375" style="5" customWidth="1"/>
    <col min="9" max="9" width="11.265625" style="5" customWidth="1"/>
    <col min="10" max="12" width="11.265625" customWidth="1"/>
  </cols>
  <sheetData>
    <row r="1" spans="1:142" s="9" customFormat="1" ht="185.65" customHeight="1" x14ac:dyDescent="0.45">
      <c r="A1" s="11" t="s">
        <v>187</v>
      </c>
      <c r="B1" s="3" t="s">
        <v>188</v>
      </c>
      <c r="C1" s="12" t="s">
        <v>189</v>
      </c>
      <c r="D1" s="13" t="s">
        <v>190</v>
      </c>
      <c r="E1" s="62" t="s">
        <v>280</v>
      </c>
      <c r="F1" s="63" t="s">
        <v>194</v>
      </c>
      <c r="G1" s="14" t="s">
        <v>191</v>
      </c>
      <c r="H1" s="14" t="s">
        <v>192</v>
      </c>
      <c r="I1" s="14" t="s">
        <v>193</v>
      </c>
      <c r="J1" s="14" t="s">
        <v>165</v>
      </c>
      <c r="K1" s="57" t="s">
        <v>269</v>
      </c>
      <c r="L1" s="57" t="s">
        <v>270</v>
      </c>
      <c r="M1" s="57" t="s">
        <v>271</v>
      </c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/>
      <c r="CE1" s="57"/>
      <c r="CF1" s="57"/>
      <c r="CG1" s="57"/>
      <c r="CH1" s="57"/>
      <c r="CI1" s="57"/>
      <c r="CJ1" s="57"/>
      <c r="CK1" s="57"/>
      <c r="CL1" s="57"/>
      <c r="CM1" s="57"/>
      <c r="CN1" s="57"/>
      <c r="CO1" s="57"/>
      <c r="CP1" s="57"/>
      <c r="CQ1" s="57"/>
      <c r="CR1" s="57"/>
      <c r="CS1" s="57"/>
      <c r="CT1" s="57"/>
      <c r="CU1" s="57"/>
      <c r="CV1" s="57"/>
      <c r="CW1" s="57"/>
      <c r="CX1" s="57"/>
      <c r="CY1" s="57"/>
      <c r="CZ1" s="57"/>
      <c r="DA1" s="57"/>
      <c r="DB1" s="57"/>
      <c r="DC1" s="57"/>
      <c r="DD1" s="57"/>
      <c r="DE1" s="57"/>
      <c r="DF1" s="57"/>
      <c r="DG1" s="57"/>
      <c r="DH1" s="57"/>
      <c r="DI1" s="57"/>
      <c r="DJ1" s="57"/>
      <c r="DK1" s="57"/>
      <c r="DL1" s="57"/>
      <c r="DM1" s="57"/>
      <c r="DN1" s="57"/>
      <c r="DO1" s="57"/>
      <c r="DP1" s="57"/>
      <c r="DQ1" s="57"/>
      <c r="DR1" s="57"/>
      <c r="DS1" s="57"/>
      <c r="DT1" s="57"/>
      <c r="DU1" s="57"/>
      <c r="DV1" s="57"/>
      <c r="DW1" s="57"/>
      <c r="DX1" s="57"/>
      <c r="DY1" s="57"/>
      <c r="DZ1" s="57"/>
      <c r="EA1" s="57"/>
      <c r="EB1" s="57"/>
      <c r="EC1" s="57"/>
      <c r="ED1" s="57"/>
      <c r="EE1" s="57"/>
      <c r="EF1" s="57"/>
      <c r="EG1" s="57"/>
      <c r="EH1" s="57"/>
      <c r="EI1" s="57"/>
      <c r="EJ1" s="57"/>
      <c r="EK1" s="57"/>
      <c r="EL1" s="57"/>
    </row>
    <row r="2" spans="1:142" x14ac:dyDescent="0.45">
      <c r="A2" s="15" t="s">
        <v>0</v>
      </c>
      <c r="B2" s="16" t="s">
        <v>1</v>
      </c>
      <c r="E2" s="64"/>
      <c r="F2" s="64"/>
    </row>
    <row r="3" spans="1:142" x14ac:dyDescent="0.45">
      <c r="A3" s="15" t="s">
        <v>2</v>
      </c>
      <c r="B3" s="16" t="s">
        <v>1</v>
      </c>
      <c r="E3" s="64"/>
      <c r="F3" s="64"/>
    </row>
    <row r="4" spans="1:142" x14ac:dyDescent="0.45">
      <c r="A4" s="15" t="s">
        <v>3</v>
      </c>
      <c r="B4" s="16" t="s">
        <v>1</v>
      </c>
      <c r="E4" s="64"/>
      <c r="F4" s="64"/>
    </row>
    <row r="5" spans="1:142" x14ac:dyDescent="0.45">
      <c r="A5" s="15" t="s">
        <v>4</v>
      </c>
      <c r="B5" s="16" t="s">
        <v>1</v>
      </c>
      <c r="E5" s="64"/>
      <c r="F5" s="64"/>
    </row>
    <row r="6" spans="1:142" x14ac:dyDescent="0.45">
      <c r="A6" s="15" t="s">
        <v>5</v>
      </c>
      <c r="B6" s="16" t="s">
        <v>1</v>
      </c>
      <c r="E6" s="64"/>
      <c r="F6" s="64"/>
    </row>
    <row r="7" spans="1:142" x14ac:dyDescent="0.45">
      <c r="A7" s="15" t="s">
        <v>6</v>
      </c>
      <c r="B7" s="16" t="s">
        <v>1</v>
      </c>
      <c r="E7" s="64"/>
      <c r="F7" s="64"/>
    </row>
    <row r="8" spans="1:142" x14ac:dyDescent="0.45">
      <c r="A8" s="15" t="s">
        <v>7</v>
      </c>
      <c r="B8" s="16" t="s">
        <v>1</v>
      </c>
      <c r="E8" s="64"/>
      <c r="F8" s="64"/>
    </row>
    <row r="9" spans="1:142" x14ac:dyDescent="0.45">
      <c r="A9" s="15" t="s">
        <v>8</v>
      </c>
      <c r="B9" s="16" t="s">
        <v>1</v>
      </c>
      <c r="E9" s="64"/>
      <c r="F9" s="64"/>
    </row>
    <row r="10" spans="1:142" x14ac:dyDescent="0.45">
      <c r="A10" s="15" t="s">
        <v>9</v>
      </c>
      <c r="B10" s="16" t="s">
        <v>1</v>
      </c>
      <c r="E10" s="64"/>
      <c r="F10" s="64"/>
    </row>
    <row r="11" spans="1:142" x14ac:dyDescent="0.45">
      <c r="A11" s="15" t="s">
        <v>10</v>
      </c>
      <c r="B11" s="16" t="s">
        <v>1</v>
      </c>
      <c r="E11" s="64"/>
      <c r="F11" s="64"/>
    </row>
    <row r="12" spans="1:142" x14ac:dyDescent="0.45">
      <c r="A12" s="15" t="s">
        <v>11</v>
      </c>
      <c r="B12" s="16" t="s">
        <v>1</v>
      </c>
      <c r="E12" s="64"/>
      <c r="F12" s="64"/>
    </row>
    <row r="13" spans="1:142" x14ac:dyDescent="0.45">
      <c r="A13" s="15" t="s">
        <v>12</v>
      </c>
      <c r="B13" s="16" t="s">
        <v>1</v>
      </c>
      <c r="E13" s="64"/>
      <c r="F13" s="64"/>
    </row>
    <row r="14" spans="1:142" x14ac:dyDescent="0.45">
      <c r="A14" s="15" t="s">
        <v>13</v>
      </c>
      <c r="B14" s="16" t="s">
        <v>1</v>
      </c>
      <c r="E14" s="64"/>
      <c r="F14" s="64"/>
    </row>
    <row r="15" spans="1:142" x14ac:dyDescent="0.45">
      <c r="A15" s="15" t="s">
        <v>14</v>
      </c>
      <c r="B15" s="16" t="s">
        <v>1</v>
      </c>
      <c r="E15" s="64"/>
      <c r="F15" s="64"/>
    </row>
    <row r="16" spans="1:142" x14ac:dyDescent="0.45">
      <c r="A16" s="15" t="s">
        <v>15</v>
      </c>
      <c r="B16" s="16" t="s">
        <v>1</v>
      </c>
      <c r="E16" s="64"/>
      <c r="F16" s="64"/>
    </row>
    <row r="17" spans="1:7" x14ac:dyDescent="0.45">
      <c r="A17" s="19" t="s">
        <v>16</v>
      </c>
      <c r="B17" s="16" t="s">
        <v>1</v>
      </c>
      <c r="E17" s="64"/>
      <c r="F17" s="64"/>
    </row>
    <row r="18" spans="1:7" x14ac:dyDescent="0.45">
      <c r="A18" s="20" t="s">
        <v>17</v>
      </c>
      <c r="B18" s="16" t="s">
        <v>1</v>
      </c>
      <c r="E18" s="64"/>
      <c r="F18" s="64"/>
    </row>
    <row r="19" spans="1:7" x14ac:dyDescent="0.45">
      <c r="A19" s="20" t="s">
        <v>18</v>
      </c>
      <c r="B19" s="16" t="s">
        <v>1</v>
      </c>
      <c r="E19" s="64"/>
      <c r="F19" s="64"/>
    </row>
    <row r="20" spans="1:7" x14ac:dyDescent="0.45">
      <c r="A20" s="20" t="s">
        <v>19</v>
      </c>
      <c r="B20" s="16" t="s">
        <v>1</v>
      </c>
      <c r="E20" s="64"/>
      <c r="F20" s="64"/>
    </row>
    <row r="21" spans="1:7" x14ac:dyDescent="0.45">
      <c r="A21" s="20" t="s">
        <v>20</v>
      </c>
      <c r="B21" s="16" t="s">
        <v>1</v>
      </c>
      <c r="E21" s="64"/>
      <c r="F21" s="64"/>
    </row>
    <row r="22" spans="1:7" x14ac:dyDescent="0.45">
      <c r="A22" s="20" t="s">
        <v>21</v>
      </c>
      <c r="B22" s="16" t="s">
        <v>1</v>
      </c>
      <c r="E22" s="64"/>
      <c r="F22" s="64"/>
    </row>
    <row r="23" spans="1:7" x14ac:dyDescent="0.45">
      <c r="A23" s="20" t="s">
        <v>22</v>
      </c>
      <c r="B23" s="16" t="s">
        <v>1</v>
      </c>
      <c r="E23" s="64"/>
      <c r="F23" s="64"/>
    </row>
    <row r="24" spans="1:7" x14ac:dyDescent="0.45">
      <c r="A24" s="20" t="s">
        <v>23</v>
      </c>
      <c r="B24" s="16" t="s">
        <v>1</v>
      </c>
      <c r="E24" s="64"/>
      <c r="F24" s="64"/>
    </row>
    <row r="25" spans="1:7" x14ac:dyDescent="0.45">
      <c r="A25" s="15" t="s">
        <v>24</v>
      </c>
      <c r="B25" s="16" t="s">
        <v>1</v>
      </c>
      <c r="E25" s="64"/>
      <c r="F25" s="64"/>
    </row>
    <row r="26" spans="1:7" x14ac:dyDescent="0.45">
      <c r="A26" s="15" t="s">
        <v>25</v>
      </c>
      <c r="B26" s="18" t="s">
        <v>1</v>
      </c>
      <c r="D26" s="21" t="s">
        <v>195</v>
      </c>
      <c r="E26" s="64"/>
      <c r="F26" s="64"/>
      <c r="G26" s="22"/>
    </row>
    <row r="27" spans="1:7" x14ac:dyDescent="0.45">
      <c r="A27" s="15" t="s">
        <v>26</v>
      </c>
      <c r="B27" s="18" t="s">
        <v>1</v>
      </c>
      <c r="C27" s="23" t="s">
        <v>195</v>
      </c>
      <c r="D27" s="21" t="s">
        <v>195</v>
      </c>
      <c r="E27" s="64"/>
      <c r="F27" s="64"/>
    </row>
    <row r="28" spans="1:7" x14ac:dyDescent="0.45">
      <c r="A28" s="15" t="s">
        <v>27</v>
      </c>
      <c r="B28" s="18" t="s">
        <v>1</v>
      </c>
      <c r="D28" s="24" t="s">
        <v>196</v>
      </c>
      <c r="E28" s="64"/>
      <c r="F28" s="64"/>
    </row>
    <row r="29" spans="1:7" x14ac:dyDescent="0.45">
      <c r="A29" s="15" t="s">
        <v>28</v>
      </c>
      <c r="B29" s="18" t="s">
        <v>1</v>
      </c>
      <c r="E29" s="64"/>
      <c r="F29" s="64"/>
    </row>
    <row r="30" spans="1:7" x14ac:dyDescent="0.45">
      <c r="A30" s="15" t="s">
        <v>29</v>
      </c>
      <c r="B30" s="18" t="s">
        <v>1</v>
      </c>
      <c r="E30" s="64"/>
      <c r="F30" s="64"/>
    </row>
    <row r="31" spans="1:7" x14ac:dyDescent="0.45">
      <c r="A31" s="15" t="s">
        <v>30</v>
      </c>
      <c r="B31" s="18" t="s">
        <v>1</v>
      </c>
      <c r="E31" s="64"/>
      <c r="F31" s="64"/>
    </row>
    <row r="32" spans="1:7" x14ac:dyDescent="0.45">
      <c r="A32" s="15" t="s">
        <v>31</v>
      </c>
      <c r="B32" s="18" t="s">
        <v>1</v>
      </c>
      <c r="E32" s="64"/>
      <c r="F32" s="64"/>
    </row>
    <row r="33" spans="1:6" x14ac:dyDescent="0.45">
      <c r="A33" s="15" t="s">
        <v>32</v>
      </c>
      <c r="B33" s="18" t="s">
        <v>1</v>
      </c>
      <c r="E33" s="64"/>
      <c r="F33" s="64"/>
    </row>
    <row r="34" spans="1:6" x14ac:dyDescent="0.45">
      <c r="A34" s="15" t="s">
        <v>33</v>
      </c>
      <c r="B34" s="18" t="s">
        <v>1</v>
      </c>
      <c r="D34" s="24" t="s">
        <v>196</v>
      </c>
      <c r="E34" s="64"/>
      <c r="F34" s="64"/>
    </row>
    <row r="35" spans="1:6" x14ac:dyDescent="0.45">
      <c r="A35" s="15" t="s">
        <v>34</v>
      </c>
      <c r="B35" s="18" t="s">
        <v>1</v>
      </c>
      <c r="D35" s="24" t="s">
        <v>196</v>
      </c>
      <c r="E35" s="64"/>
      <c r="F35" s="64"/>
    </row>
    <row r="36" spans="1:6" x14ac:dyDescent="0.45">
      <c r="A36" s="15" t="s">
        <v>35</v>
      </c>
      <c r="B36" s="18" t="s">
        <v>1</v>
      </c>
      <c r="D36" s="24" t="s">
        <v>196</v>
      </c>
      <c r="E36" s="64"/>
      <c r="F36" s="64"/>
    </row>
    <row r="37" spans="1:6" x14ac:dyDescent="0.45">
      <c r="A37" s="15" t="s">
        <v>36</v>
      </c>
      <c r="B37" s="18" t="s">
        <v>1</v>
      </c>
      <c r="D37" s="24" t="s">
        <v>196</v>
      </c>
      <c r="E37" s="64"/>
      <c r="F37" s="64"/>
    </row>
    <row r="38" spans="1:6" x14ac:dyDescent="0.45">
      <c r="A38" s="15" t="s">
        <v>37</v>
      </c>
      <c r="B38" s="18" t="s">
        <v>1</v>
      </c>
      <c r="D38" s="24" t="s">
        <v>196</v>
      </c>
      <c r="E38" s="64"/>
      <c r="F38" s="64"/>
    </row>
    <row r="39" spans="1:6" x14ac:dyDescent="0.45">
      <c r="A39" s="25" t="s">
        <v>38</v>
      </c>
      <c r="B39" s="18" t="s">
        <v>1</v>
      </c>
      <c r="E39" s="64"/>
      <c r="F39" s="64"/>
    </row>
    <row r="40" spans="1:6" x14ac:dyDescent="0.45">
      <c r="A40" s="25" t="s">
        <v>39</v>
      </c>
      <c r="B40" s="18" t="s">
        <v>1</v>
      </c>
      <c r="E40" s="64"/>
      <c r="F40" s="64"/>
    </row>
    <row r="41" spans="1:6" x14ac:dyDescent="0.45">
      <c r="A41" s="25" t="s">
        <v>40</v>
      </c>
      <c r="B41" s="18" t="s">
        <v>1</v>
      </c>
      <c r="E41" s="64"/>
      <c r="F41" s="64"/>
    </row>
    <row r="42" spans="1:6" x14ac:dyDescent="0.45">
      <c r="A42" s="25" t="s">
        <v>41</v>
      </c>
      <c r="B42" s="18" t="s">
        <v>1</v>
      </c>
      <c r="E42" s="64"/>
      <c r="F42" s="64"/>
    </row>
    <row r="43" spans="1:6" x14ac:dyDescent="0.45">
      <c r="A43" s="25" t="s">
        <v>42</v>
      </c>
      <c r="B43" s="18" t="s">
        <v>1</v>
      </c>
      <c r="E43" s="64"/>
      <c r="F43" s="64"/>
    </row>
    <row r="44" spans="1:6" x14ac:dyDescent="0.45">
      <c r="A44" s="25" t="s">
        <v>43</v>
      </c>
      <c r="B44" s="18" t="s">
        <v>1</v>
      </c>
      <c r="E44" s="64"/>
      <c r="F44" s="64"/>
    </row>
    <row r="45" spans="1:6" x14ac:dyDescent="0.45">
      <c r="A45" s="25" t="s">
        <v>44</v>
      </c>
      <c r="B45" s="18" t="s">
        <v>1</v>
      </c>
      <c r="E45" s="64"/>
      <c r="F45" s="64"/>
    </row>
    <row r="46" spans="1:6" x14ac:dyDescent="0.45">
      <c r="A46" s="25" t="s">
        <v>45</v>
      </c>
      <c r="B46" s="18" t="s">
        <v>1</v>
      </c>
      <c r="E46" s="64"/>
      <c r="F46" s="64"/>
    </row>
    <row r="47" spans="1:6" x14ac:dyDescent="0.45">
      <c r="A47" s="25" t="s">
        <v>46</v>
      </c>
      <c r="B47" s="18" t="s">
        <v>1</v>
      </c>
      <c r="E47" s="64"/>
      <c r="F47" s="64"/>
    </row>
    <row r="48" spans="1:6" x14ac:dyDescent="0.45">
      <c r="A48" s="15" t="s">
        <v>47</v>
      </c>
      <c r="B48" s="18" t="s">
        <v>1</v>
      </c>
      <c r="D48" s="24" t="s">
        <v>196</v>
      </c>
      <c r="E48" s="64"/>
      <c r="F48" s="64"/>
    </row>
    <row r="49" spans="1:6" x14ac:dyDescent="0.45">
      <c r="A49" s="26" t="s">
        <v>48</v>
      </c>
      <c r="B49" s="16" t="s">
        <v>140</v>
      </c>
      <c r="E49" s="64"/>
      <c r="F49" s="64"/>
    </row>
    <row r="50" spans="1:6" x14ac:dyDescent="0.45">
      <c r="A50" s="26" t="s">
        <v>49</v>
      </c>
      <c r="B50" s="16" t="s">
        <v>140</v>
      </c>
      <c r="E50" s="64"/>
      <c r="F50" s="64"/>
    </row>
    <row r="51" spans="1:6" x14ac:dyDescent="0.45">
      <c r="A51" s="15" t="s">
        <v>50</v>
      </c>
      <c r="B51" s="18" t="s">
        <v>1</v>
      </c>
      <c r="D51" s="24" t="s">
        <v>196</v>
      </c>
      <c r="E51" s="64"/>
      <c r="F51" s="64"/>
    </row>
    <row r="52" spans="1:6" x14ac:dyDescent="0.45">
      <c r="A52" s="15" t="s">
        <v>51</v>
      </c>
      <c r="B52" s="18" t="s">
        <v>1</v>
      </c>
      <c r="D52" s="24" t="s">
        <v>196</v>
      </c>
      <c r="E52" s="64"/>
      <c r="F52" s="64"/>
    </row>
    <row r="53" spans="1:6" x14ac:dyDescent="0.45">
      <c r="A53" s="25" t="s">
        <v>52</v>
      </c>
      <c r="B53" s="16" t="s">
        <v>1</v>
      </c>
      <c r="E53" s="64"/>
      <c r="F53" s="64"/>
    </row>
    <row r="54" spans="1:6" x14ac:dyDescent="0.45">
      <c r="A54" s="19" t="s">
        <v>53</v>
      </c>
      <c r="B54" s="18" t="s">
        <v>1</v>
      </c>
      <c r="D54" s="24" t="s">
        <v>196</v>
      </c>
      <c r="E54" s="64"/>
      <c r="F54" s="64"/>
    </row>
    <row r="55" spans="1:6" x14ac:dyDescent="0.45">
      <c r="A55" s="15" t="s">
        <v>54</v>
      </c>
      <c r="B55" s="18" t="s">
        <v>1</v>
      </c>
      <c r="D55" s="24" t="s">
        <v>196</v>
      </c>
      <c r="E55" s="64"/>
      <c r="F55" s="64"/>
    </row>
    <row r="56" spans="1:6" x14ac:dyDescent="0.45">
      <c r="A56" s="15" t="s">
        <v>55</v>
      </c>
      <c r="B56" s="18" t="s">
        <v>1</v>
      </c>
      <c r="D56" s="24" t="s">
        <v>196</v>
      </c>
      <c r="E56" s="64"/>
      <c r="F56" s="64"/>
    </row>
    <row r="57" spans="1:6" x14ac:dyDescent="0.45">
      <c r="A57" s="25" t="s">
        <v>56</v>
      </c>
      <c r="B57" s="18" t="s">
        <v>1</v>
      </c>
      <c r="E57" s="64"/>
      <c r="F57" s="64"/>
    </row>
    <row r="58" spans="1:6" x14ac:dyDescent="0.45">
      <c r="A58" s="15" t="s">
        <v>57</v>
      </c>
      <c r="B58" s="18" t="s">
        <v>1</v>
      </c>
      <c r="E58" s="64"/>
      <c r="F58" s="64"/>
    </row>
    <row r="59" spans="1:6" x14ac:dyDescent="0.45">
      <c r="A59" s="25" t="s">
        <v>58</v>
      </c>
      <c r="B59" s="18" t="s">
        <v>1</v>
      </c>
      <c r="E59" s="64"/>
      <c r="F59" s="64"/>
    </row>
    <row r="60" spans="1:6" x14ac:dyDescent="0.45">
      <c r="A60" s="15" t="s">
        <v>59</v>
      </c>
      <c r="B60" s="18" t="s">
        <v>1</v>
      </c>
      <c r="D60" s="24" t="s">
        <v>196</v>
      </c>
      <c r="E60" s="64"/>
      <c r="F60" s="64"/>
    </row>
    <row r="61" spans="1:6" x14ac:dyDescent="0.45">
      <c r="A61" s="25" t="s">
        <v>60</v>
      </c>
      <c r="B61" s="18" t="s">
        <v>1</v>
      </c>
      <c r="E61" s="64"/>
      <c r="F61" s="64"/>
    </row>
    <row r="62" spans="1:6" x14ac:dyDescent="0.45">
      <c r="A62" s="25" t="s">
        <v>61</v>
      </c>
      <c r="B62" s="18" t="s">
        <v>1</v>
      </c>
      <c r="E62" s="64"/>
      <c r="F62" s="64"/>
    </row>
    <row r="63" spans="1:6" x14ac:dyDescent="0.45">
      <c r="A63" s="25" t="s">
        <v>62</v>
      </c>
      <c r="B63" s="18" t="s">
        <v>1</v>
      </c>
      <c r="E63" s="64"/>
      <c r="F63" s="64"/>
    </row>
    <row r="64" spans="1:6" x14ac:dyDescent="0.45">
      <c r="A64" s="25" t="s">
        <v>63</v>
      </c>
      <c r="B64" s="18" t="s">
        <v>1</v>
      </c>
      <c r="E64" s="64"/>
      <c r="F64" s="64"/>
    </row>
    <row r="65" spans="1:7" x14ac:dyDescent="0.45">
      <c r="A65" s="25" t="s">
        <v>64</v>
      </c>
      <c r="B65" s="18" t="s">
        <v>1</v>
      </c>
      <c r="E65" s="64"/>
      <c r="F65" s="64"/>
    </row>
    <row r="66" spans="1:7" x14ac:dyDescent="0.45">
      <c r="A66" s="15" t="s">
        <v>65</v>
      </c>
      <c r="B66" s="18" t="s">
        <v>1</v>
      </c>
      <c r="D66" s="24" t="s">
        <v>196</v>
      </c>
      <c r="E66" s="64"/>
      <c r="F66" s="64"/>
    </row>
    <row r="67" spans="1:7" x14ac:dyDescent="0.45">
      <c r="A67" s="20" t="s">
        <v>66</v>
      </c>
      <c r="B67" s="18" t="s">
        <v>1</v>
      </c>
      <c r="D67" s="24" t="s">
        <v>196</v>
      </c>
      <c r="E67" s="64"/>
      <c r="F67" s="64"/>
    </row>
    <row r="68" spans="1:7" x14ac:dyDescent="0.45">
      <c r="A68" s="15" t="s">
        <v>67</v>
      </c>
      <c r="B68" s="18" t="s">
        <v>1</v>
      </c>
      <c r="D68" s="24" t="s">
        <v>196</v>
      </c>
      <c r="E68" s="64"/>
      <c r="F68" s="64"/>
    </row>
    <row r="69" spans="1:7" x14ac:dyDescent="0.45">
      <c r="A69" s="15" t="s">
        <v>68</v>
      </c>
      <c r="B69" s="18" t="s">
        <v>1</v>
      </c>
      <c r="D69" s="24" t="s">
        <v>196</v>
      </c>
      <c r="E69" s="64"/>
      <c r="F69" s="64"/>
    </row>
    <row r="70" spans="1:7" x14ac:dyDescent="0.45">
      <c r="A70" s="15" t="s">
        <v>69</v>
      </c>
      <c r="B70" s="18" t="s">
        <v>1</v>
      </c>
      <c r="D70" s="24" t="s">
        <v>196</v>
      </c>
      <c r="E70" s="64"/>
      <c r="F70" s="64"/>
    </row>
    <row r="71" spans="1:7" x14ac:dyDescent="0.45">
      <c r="A71" s="15" t="s">
        <v>70</v>
      </c>
      <c r="B71" s="18" t="s">
        <v>1</v>
      </c>
      <c r="D71" s="24" t="s">
        <v>196</v>
      </c>
      <c r="E71" s="64"/>
      <c r="F71" s="64"/>
    </row>
    <row r="72" spans="1:7" x14ac:dyDescent="0.45">
      <c r="A72" s="20" t="s">
        <v>197</v>
      </c>
      <c r="B72" s="18" t="s">
        <v>1</v>
      </c>
      <c r="D72" s="24" t="s">
        <v>196</v>
      </c>
      <c r="E72" s="64"/>
      <c r="F72" s="64"/>
    </row>
    <row r="73" spans="1:7" ht="15.75" customHeight="1" x14ac:dyDescent="0.45">
      <c r="A73" s="26" t="s">
        <v>71</v>
      </c>
      <c r="B73" s="18" t="s">
        <v>140</v>
      </c>
      <c r="D73" s="28" t="s">
        <v>198</v>
      </c>
      <c r="E73" s="64"/>
      <c r="F73" s="64"/>
    </row>
    <row r="74" spans="1:7" x14ac:dyDescent="0.45">
      <c r="A74" s="29" t="s">
        <v>72</v>
      </c>
      <c r="B74" s="18" t="s">
        <v>1</v>
      </c>
      <c r="E74" s="64"/>
      <c r="F74" s="64"/>
    </row>
    <row r="75" spans="1:7" x14ac:dyDescent="0.45">
      <c r="A75" s="29" t="s">
        <v>73</v>
      </c>
      <c r="B75" s="18" t="s">
        <v>1</v>
      </c>
      <c r="E75" s="64"/>
      <c r="F75" s="64"/>
    </row>
    <row r="76" spans="1:7" ht="28.5" x14ac:dyDescent="0.45">
      <c r="A76" s="15" t="s">
        <v>74</v>
      </c>
      <c r="B76" s="18" t="s">
        <v>1</v>
      </c>
      <c r="C76" s="23" t="s">
        <v>195</v>
      </c>
      <c r="D76" s="21" t="s">
        <v>195</v>
      </c>
      <c r="E76" s="64"/>
      <c r="F76" s="64"/>
      <c r="G76" s="22" t="s">
        <v>199</v>
      </c>
    </row>
    <row r="77" spans="1:7" x14ac:dyDescent="0.45">
      <c r="A77" s="15" t="s">
        <v>75</v>
      </c>
      <c r="B77" s="18" t="s">
        <v>1</v>
      </c>
      <c r="C77" s="23" t="s">
        <v>195</v>
      </c>
      <c r="D77" s="21" t="s">
        <v>195</v>
      </c>
      <c r="E77" s="64"/>
      <c r="F77" s="64"/>
    </row>
    <row r="78" spans="1:7" x14ac:dyDescent="0.45">
      <c r="A78" s="15" t="s">
        <v>76</v>
      </c>
      <c r="B78" s="18" t="s">
        <v>1</v>
      </c>
      <c r="C78" s="23"/>
      <c r="D78" s="24" t="s">
        <v>196</v>
      </c>
      <c r="E78" s="64"/>
      <c r="F78" s="64"/>
    </row>
    <row r="79" spans="1:7" x14ac:dyDescent="0.45">
      <c r="A79" s="15" t="s">
        <v>77</v>
      </c>
      <c r="B79" s="18" t="s">
        <v>1</v>
      </c>
      <c r="C79" s="23" t="s">
        <v>195</v>
      </c>
      <c r="D79" s="21" t="s">
        <v>195</v>
      </c>
      <c r="E79" s="64"/>
      <c r="F79" s="64"/>
    </row>
    <row r="80" spans="1:7" x14ac:dyDescent="0.45">
      <c r="A80" s="15" t="s">
        <v>78</v>
      </c>
      <c r="B80" s="18" t="s">
        <v>1</v>
      </c>
      <c r="C80" s="23" t="s">
        <v>195</v>
      </c>
      <c r="D80" s="21" t="s">
        <v>195</v>
      </c>
      <c r="E80" s="64"/>
      <c r="F80" s="64"/>
    </row>
    <row r="81" spans="1:13" x14ac:dyDescent="0.45">
      <c r="A81" s="15" t="s">
        <v>79</v>
      </c>
      <c r="B81" s="18" t="s">
        <v>1</v>
      </c>
      <c r="C81" s="23" t="s">
        <v>195</v>
      </c>
      <c r="D81" s="21" t="s">
        <v>195</v>
      </c>
      <c r="E81" s="64"/>
      <c r="F81" s="64"/>
    </row>
    <row r="82" spans="1:13" x14ac:dyDescent="0.45">
      <c r="A82" s="15" t="s">
        <v>80</v>
      </c>
      <c r="B82" s="18" t="s">
        <v>1</v>
      </c>
      <c r="C82" s="23" t="s">
        <v>195</v>
      </c>
      <c r="D82" s="21" t="s">
        <v>195</v>
      </c>
      <c r="E82" s="64"/>
      <c r="F82" s="64"/>
    </row>
    <row r="83" spans="1:13" x14ac:dyDescent="0.45">
      <c r="A83" s="15" t="s">
        <v>81</v>
      </c>
      <c r="B83" s="18" t="s">
        <v>1</v>
      </c>
      <c r="C83" s="23"/>
      <c r="D83" s="24" t="s">
        <v>196</v>
      </c>
      <c r="E83" s="64"/>
      <c r="F83" s="64"/>
    </row>
    <row r="84" spans="1:13" x14ac:dyDescent="0.45">
      <c r="A84" s="15" t="s">
        <v>82</v>
      </c>
      <c r="B84" s="18" t="s">
        <v>1</v>
      </c>
      <c r="C84" s="23" t="s">
        <v>195</v>
      </c>
      <c r="D84" s="21" t="s">
        <v>195</v>
      </c>
      <c r="E84" s="64"/>
      <c r="F84" s="64"/>
    </row>
    <row r="85" spans="1:13" ht="57" x14ac:dyDescent="0.45">
      <c r="A85" s="20" t="s">
        <v>83</v>
      </c>
      <c r="B85" s="18" t="s">
        <v>200</v>
      </c>
      <c r="C85" s="30" t="s">
        <v>201</v>
      </c>
      <c r="D85" s="31" t="s">
        <v>202</v>
      </c>
      <c r="E85" s="65" t="s">
        <v>174</v>
      </c>
      <c r="F85" s="66" t="s">
        <v>166</v>
      </c>
      <c r="G85" s="61" t="s">
        <v>203</v>
      </c>
      <c r="H85" s="22" t="s">
        <v>203</v>
      </c>
      <c r="I85" s="22" t="s">
        <v>203</v>
      </c>
      <c r="J85" s="7" t="s">
        <v>174</v>
      </c>
      <c r="K85" t="s">
        <v>272</v>
      </c>
      <c r="L85" t="s">
        <v>272</v>
      </c>
      <c r="M85" t="s">
        <v>272</v>
      </c>
    </row>
    <row r="86" spans="1:13" ht="42.75" x14ac:dyDescent="0.45">
      <c r="A86" s="20" t="s">
        <v>84</v>
      </c>
      <c r="B86" s="18" t="s">
        <v>200</v>
      </c>
      <c r="C86" s="23" t="s">
        <v>195</v>
      </c>
      <c r="D86" s="21" t="s">
        <v>195</v>
      </c>
      <c r="E86" s="64"/>
      <c r="F86" s="64"/>
      <c r="I86" s="22" t="s">
        <v>199</v>
      </c>
      <c r="J86" s="6" t="s">
        <v>175</v>
      </c>
    </row>
    <row r="87" spans="1:13" x14ac:dyDescent="0.45">
      <c r="A87" s="20" t="s">
        <v>85</v>
      </c>
      <c r="B87" s="18" t="s">
        <v>200</v>
      </c>
      <c r="C87" s="23" t="s">
        <v>195</v>
      </c>
      <c r="D87" s="21" t="s">
        <v>195</v>
      </c>
      <c r="E87" s="64"/>
      <c r="F87" s="64"/>
      <c r="K87" t="s">
        <v>272</v>
      </c>
    </row>
    <row r="88" spans="1:13" x14ac:dyDescent="0.45">
      <c r="A88" s="20" t="s">
        <v>86</v>
      </c>
      <c r="B88" s="18" t="s">
        <v>200</v>
      </c>
      <c r="C88" s="23" t="s">
        <v>195</v>
      </c>
      <c r="D88" s="21" t="s">
        <v>195</v>
      </c>
      <c r="E88" s="64"/>
      <c r="F88" s="64"/>
    </row>
    <row r="89" spans="1:13" x14ac:dyDescent="0.45">
      <c r="A89" s="20" t="s">
        <v>87</v>
      </c>
      <c r="B89" s="16" t="s">
        <v>204</v>
      </c>
      <c r="C89" s="23" t="s">
        <v>196</v>
      </c>
      <c r="D89" s="21" t="s">
        <v>195</v>
      </c>
      <c r="E89" s="64"/>
      <c r="F89" s="64"/>
    </row>
    <row r="90" spans="1:13" x14ac:dyDescent="0.45">
      <c r="A90" s="20" t="s">
        <v>88</v>
      </c>
      <c r="B90" s="18" t="s">
        <v>204</v>
      </c>
      <c r="C90" s="23" t="s">
        <v>195</v>
      </c>
      <c r="D90" s="21" t="s">
        <v>195</v>
      </c>
      <c r="E90" s="64"/>
      <c r="F90" s="64"/>
    </row>
    <row r="91" spans="1:13" s="27" customFormat="1" x14ac:dyDescent="0.45">
      <c r="A91" s="32" t="s">
        <v>205</v>
      </c>
      <c r="B91" s="18" t="s">
        <v>206</v>
      </c>
      <c r="C91" s="33" t="s">
        <v>198</v>
      </c>
      <c r="D91" s="21" t="s">
        <v>195</v>
      </c>
      <c r="E91" s="67"/>
      <c r="F91" s="67"/>
      <c r="G91" s="6"/>
      <c r="H91" s="6"/>
      <c r="I91" s="6"/>
    </row>
    <row r="92" spans="1:13" s="27" customFormat="1" x14ac:dyDescent="0.45">
      <c r="A92" s="32" t="s">
        <v>207</v>
      </c>
      <c r="B92" s="18" t="s">
        <v>206</v>
      </c>
      <c r="C92" s="33" t="s">
        <v>198</v>
      </c>
      <c r="D92" s="21" t="s">
        <v>195</v>
      </c>
      <c r="E92" s="67"/>
      <c r="F92" s="67"/>
      <c r="G92" s="6"/>
      <c r="H92" s="6"/>
      <c r="I92" s="6"/>
    </row>
    <row r="93" spans="1:13" s="27" customFormat="1" x14ac:dyDescent="0.45">
      <c r="A93" s="34" t="s">
        <v>208</v>
      </c>
      <c r="B93" s="18" t="s">
        <v>206</v>
      </c>
      <c r="C93" s="33" t="s">
        <v>198</v>
      </c>
      <c r="D93" s="21" t="s">
        <v>195</v>
      </c>
      <c r="E93" s="67"/>
      <c r="F93" s="67"/>
      <c r="G93" s="6"/>
      <c r="H93" s="6"/>
      <c r="I93" s="6"/>
    </row>
    <row r="94" spans="1:13" s="27" customFormat="1" x14ac:dyDescent="0.45">
      <c r="A94" s="34" t="s">
        <v>209</v>
      </c>
      <c r="B94" s="18" t="s">
        <v>206</v>
      </c>
      <c r="C94" s="33" t="s">
        <v>198</v>
      </c>
      <c r="D94" s="31" t="s">
        <v>210</v>
      </c>
      <c r="E94" s="67"/>
      <c r="F94" s="67"/>
      <c r="G94" s="6"/>
      <c r="H94" s="6"/>
      <c r="I94" s="6"/>
    </row>
    <row r="95" spans="1:13" ht="71.25" x14ac:dyDescent="0.45">
      <c r="A95" s="20" t="s">
        <v>89</v>
      </c>
      <c r="B95" s="18" t="s">
        <v>200</v>
      </c>
      <c r="C95" s="30" t="s">
        <v>211</v>
      </c>
      <c r="D95" s="31" t="s">
        <v>212</v>
      </c>
      <c r="E95" s="64"/>
      <c r="F95" s="68" t="s">
        <v>167</v>
      </c>
      <c r="G95" s="22" t="s">
        <v>213</v>
      </c>
      <c r="H95" s="22" t="s">
        <v>213</v>
      </c>
      <c r="I95" s="22" t="s">
        <v>214</v>
      </c>
      <c r="K95" t="s">
        <v>272</v>
      </c>
      <c r="L95" t="s">
        <v>272</v>
      </c>
      <c r="M95" t="s">
        <v>272</v>
      </c>
    </row>
    <row r="96" spans="1:13" x14ac:dyDescent="0.45">
      <c r="A96" s="20" t="s">
        <v>90</v>
      </c>
      <c r="B96" s="18" t="s">
        <v>200</v>
      </c>
      <c r="C96" s="23"/>
      <c r="D96" s="21" t="s">
        <v>195</v>
      </c>
      <c r="E96" s="64"/>
      <c r="F96" s="69"/>
      <c r="K96" t="s">
        <v>272</v>
      </c>
    </row>
    <row r="97" spans="1:13" ht="28.5" x14ac:dyDescent="0.45">
      <c r="A97" s="20" t="s">
        <v>91</v>
      </c>
      <c r="B97" s="18" t="s">
        <v>200</v>
      </c>
      <c r="C97" s="23" t="s">
        <v>195</v>
      </c>
      <c r="D97" s="21" t="s">
        <v>195</v>
      </c>
      <c r="E97" s="64"/>
      <c r="F97" s="66" t="s">
        <v>168</v>
      </c>
    </row>
    <row r="98" spans="1:13" x14ac:dyDescent="0.45">
      <c r="A98" s="20" t="s">
        <v>92</v>
      </c>
      <c r="B98" s="18" t="s">
        <v>204</v>
      </c>
      <c r="C98" s="23" t="s">
        <v>195</v>
      </c>
      <c r="D98" s="21" t="s">
        <v>195</v>
      </c>
      <c r="E98" s="64"/>
      <c r="F98" s="64"/>
    </row>
    <row r="99" spans="1:13" x14ac:dyDescent="0.45">
      <c r="A99" s="20" t="s">
        <v>93</v>
      </c>
      <c r="B99" s="18" t="s">
        <v>204</v>
      </c>
      <c r="C99" s="30" t="s">
        <v>210</v>
      </c>
      <c r="D99" s="31" t="s">
        <v>210</v>
      </c>
      <c r="E99" s="64"/>
      <c r="F99" s="64"/>
      <c r="M99" t="s">
        <v>272</v>
      </c>
    </row>
    <row r="100" spans="1:13" s="27" customFormat="1" x14ac:dyDescent="0.45">
      <c r="A100" s="34" t="s">
        <v>215</v>
      </c>
      <c r="B100" s="18" t="s">
        <v>206</v>
      </c>
      <c r="C100" s="30" t="s">
        <v>198</v>
      </c>
      <c r="D100" s="31" t="s">
        <v>216</v>
      </c>
      <c r="E100" s="67"/>
      <c r="F100" s="67"/>
      <c r="G100" s="6"/>
      <c r="H100" s="6"/>
      <c r="I100" s="6"/>
    </row>
    <row r="101" spans="1:13" ht="42.75" x14ac:dyDescent="0.45">
      <c r="A101" s="20" t="s">
        <v>94</v>
      </c>
      <c r="B101" s="18" t="s">
        <v>200</v>
      </c>
      <c r="C101" s="30" t="s">
        <v>217</v>
      </c>
      <c r="D101" s="31" t="s">
        <v>217</v>
      </c>
      <c r="E101" s="64"/>
      <c r="F101" s="64"/>
      <c r="G101" s="22" t="s">
        <v>218</v>
      </c>
      <c r="M101" t="s">
        <v>272</v>
      </c>
    </row>
    <row r="102" spans="1:13" ht="57" x14ac:dyDescent="0.45">
      <c r="A102" s="20" t="s">
        <v>95</v>
      </c>
      <c r="B102" s="18" t="s">
        <v>200</v>
      </c>
      <c r="C102" s="23" t="s">
        <v>195</v>
      </c>
      <c r="D102" s="21" t="s">
        <v>195</v>
      </c>
      <c r="E102" s="64"/>
      <c r="F102" s="64"/>
      <c r="G102" s="22" t="s">
        <v>199</v>
      </c>
      <c r="I102" s="22" t="s">
        <v>203</v>
      </c>
      <c r="K102" t="s">
        <v>272</v>
      </c>
      <c r="L102" t="s">
        <v>272</v>
      </c>
    </row>
    <row r="103" spans="1:13" ht="57" x14ac:dyDescent="0.45">
      <c r="A103" s="20" t="s">
        <v>96</v>
      </c>
      <c r="B103" s="18" t="s">
        <v>204</v>
      </c>
      <c r="C103" s="30" t="s">
        <v>219</v>
      </c>
      <c r="D103" s="31" t="s">
        <v>219</v>
      </c>
      <c r="E103" s="64"/>
      <c r="F103" s="64"/>
      <c r="G103" s="22" t="s">
        <v>220</v>
      </c>
      <c r="H103" s="22" t="s">
        <v>221</v>
      </c>
      <c r="I103" s="22" t="s">
        <v>221</v>
      </c>
      <c r="K103" t="s">
        <v>272</v>
      </c>
      <c r="L103" t="s">
        <v>272</v>
      </c>
      <c r="M103" t="s">
        <v>272</v>
      </c>
    </row>
    <row r="104" spans="1:13" ht="57" x14ac:dyDescent="0.45">
      <c r="A104" s="20" t="s">
        <v>97</v>
      </c>
      <c r="B104" s="18" t="s">
        <v>204</v>
      </c>
      <c r="C104" s="30" t="s">
        <v>222</v>
      </c>
      <c r="D104" s="21" t="s">
        <v>222</v>
      </c>
      <c r="E104" s="64"/>
      <c r="F104" s="64"/>
      <c r="G104" s="22" t="s">
        <v>223</v>
      </c>
      <c r="H104" s="22" t="s">
        <v>223</v>
      </c>
      <c r="I104" s="22" t="s">
        <v>223</v>
      </c>
    </row>
    <row r="105" spans="1:13" x14ac:dyDescent="0.45">
      <c r="A105" s="20" t="s">
        <v>98</v>
      </c>
      <c r="B105" s="18" t="s">
        <v>204</v>
      </c>
      <c r="C105" s="23" t="s">
        <v>195</v>
      </c>
      <c r="D105" s="21" t="s">
        <v>195</v>
      </c>
      <c r="E105" s="64"/>
      <c r="F105" s="64"/>
    </row>
    <row r="106" spans="1:13" s="27" customFormat="1" x14ac:dyDescent="0.45">
      <c r="A106" s="32" t="s">
        <v>224</v>
      </c>
      <c r="B106" s="18" t="s">
        <v>206</v>
      </c>
      <c r="C106" s="33" t="s">
        <v>198</v>
      </c>
      <c r="D106" s="28" t="s">
        <v>195</v>
      </c>
      <c r="E106" s="67"/>
      <c r="F106" s="67"/>
      <c r="G106" s="6"/>
      <c r="H106" s="6"/>
      <c r="I106" s="6"/>
    </row>
    <row r="107" spans="1:13" s="27" customFormat="1" x14ac:dyDescent="0.45">
      <c r="A107" s="32" t="s">
        <v>225</v>
      </c>
      <c r="B107" s="18" t="s">
        <v>206</v>
      </c>
      <c r="C107" s="33" t="s">
        <v>198</v>
      </c>
      <c r="D107" s="28" t="s">
        <v>195</v>
      </c>
      <c r="E107" s="67"/>
      <c r="F107" s="67"/>
      <c r="G107" s="6"/>
      <c r="H107" s="6"/>
      <c r="I107" s="6"/>
    </row>
    <row r="108" spans="1:13" s="27" customFormat="1" x14ac:dyDescent="0.45">
      <c r="A108" s="32" t="s">
        <v>226</v>
      </c>
      <c r="B108" s="18" t="s">
        <v>206</v>
      </c>
      <c r="C108" s="33" t="s">
        <v>198</v>
      </c>
      <c r="D108" s="28" t="s">
        <v>195</v>
      </c>
      <c r="E108" s="67"/>
      <c r="F108" s="67"/>
      <c r="G108" s="6"/>
      <c r="H108" s="6"/>
      <c r="I108" s="6"/>
    </row>
    <row r="109" spans="1:13" s="27" customFormat="1" x14ac:dyDescent="0.45">
      <c r="A109" s="32" t="s">
        <v>227</v>
      </c>
      <c r="B109" s="18" t="s">
        <v>206</v>
      </c>
      <c r="C109" s="33" t="s">
        <v>198</v>
      </c>
      <c r="D109" s="28" t="s">
        <v>195</v>
      </c>
      <c r="E109" s="67"/>
      <c r="F109" s="67"/>
      <c r="G109" s="6"/>
      <c r="H109" s="6"/>
      <c r="I109" s="6"/>
    </row>
    <row r="110" spans="1:13" x14ac:dyDescent="0.45">
      <c r="A110" s="20" t="s">
        <v>99</v>
      </c>
      <c r="B110" s="18" t="s">
        <v>204</v>
      </c>
      <c r="C110" s="30" t="s">
        <v>216</v>
      </c>
      <c r="D110" s="31" t="s">
        <v>216</v>
      </c>
      <c r="E110" s="64"/>
      <c r="F110" s="64"/>
    </row>
    <row r="111" spans="1:13" x14ac:dyDescent="0.45">
      <c r="A111" s="20" t="s">
        <v>100</v>
      </c>
      <c r="B111" s="18" t="s">
        <v>204</v>
      </c>
      <c r="C111" s="30" t="s">
        <v>228</v>
      </c>
      <c r="D111" s="31" t="s">
        <v>228</v>
      </c>
      <c r="E111" s="64"/>
      <c r="F111" s="64"/>
    </row>
    <row r="112" spans="1:13" x14ac:dyDescent="0.45">
      <c r="A112" s="76" t="s">
        <v>101</v>
      </c>
      <c r="B112" s="18" t="s">
        <v>204</v>
      </c>
      <c r="C112" s="30" t="s">
        <v>229</v>
      </c>
      <c r="D112" s="31" t="s">
        <v>229</v>
      </c>
      <c r="E112" s="64"/>
      <c r="F112" s="64"/>
    </row>
    <row r="113" spans="1:13" x14ac:dyDescent="0.45">
      <c r="A113" s="20" t="s">
        <v>102</v>
      </c>
      <c r="B113" s="18" t="s">
        <v>204</v>
      </c>
      <c r="C113" s="23" t="s">
        <v>195</v>
      </c>
      <c r="D113" s="21" t="s">
        <v>195</v>
      </c>
      <c r="E113" s="64"/>
      <c r="F113" s="64"/>
    </row>
    <row r="114" spans="1:13" ht="42.75" x14ac:dyDescent="0.45">
      <c r="A114" s="20" t="s">
        <v>103</v>
      </c>
      <c r="B114" s="18" t="s">
        <v>200</v>
      </c>
      <c r="C114" s="30" t="s">
        <v>230</v>
      </c>
      <c r="D114" s="21" t="s">
        <v>231</v>
      </c>
      <c r="E114" s="64"/>
      <c r="F114" s="66" t="s">
        <v>169</v>
      </c>
      <c r="K114" t="s">
        <v>272</v>
      </c>
      <c r="L114" t="s">
        <v>272</v>
      </c>
    </row>
    <row r="115" spans="1:13" x14ac:dyDescent="0.45">
      <c r="A115" s="20" t="s">
        <v>104</v>
      </c>
      <c r="B115" s="18" t="s">
        <v>200</v>
      </c>
      <c r="C115" s="23" t="s">
        <v>195</v>
      </c>
      <c r="D115" s="21" t="s">
        <v>195</v>
      </c>
      <c r="E115" s="64"/>
      <c r="F115" s="64"/>
    </row>
    <row r="116" spans="1:13" s="27" customFormat="1" x14ac:dyDescent="0.45">
      <c r="A116" s="32" t="s">
        <v>232</v>
      </c>
      <c r="B116" s="18" t="s">
        <v>206</v>
      </c>
      <c r="C116" s="33" t="s">
        <v>198</v>
      </c>
      <c r="D116" s="28" t="s">
        <v>195</v>
      </c>
      <c r="E116" s="67"/>
      <c r="F116" s="67"/>
      <c r="G116" s="6"/>
      <c r="H116" s="6"/>
      <c r="I116" s="6"/>
    </row>
    <row r="117" spans="1:13" x14ac:dyDescent="0.45">
      <c r="A117" s="20" t="s">
        <v>105</v>
      </c>
      <c r="B117" s="18" t="s">
        <v>200</v>
      </c>
      <c r="C117" s="23" t="s">
        <v>195</v>
      </c>
      <c r="D117" s="21" t="s">
        <v>195</v>
      </c>
      <c r="E117" s="64"/>
      <c r="F117" s="64"/>
    </row>
    <row r="118" spans="1:13" x14ac:dyDescent="0.45">
      <c r="A118" s="20" t="s">
        <v>106</v>
      </c>
      <c r="B118" s="18" t="s">
        <v>200</v>
      </c>
      <c r="C118" s="23" t="s">
        <v>195</v>
      </c>
      <c r="D118" s="21" t="s">
        <v>195</v>
      </c>
      <c r="E118" s="64"/>
      <c r="F118" s="64"/>
    </row>
    <row r="119" spans="1:13" x14ac:dyDescent="0.45">
      <c r="A119" s="20" t="s">
        <v>107</v>
      </c>
      <c r="B119" s="18" t="s">
        <v>200</v>
      </c>
      <c r="C119" s="23" t="s">
        <v>195</v>
      </c>
      <c r="D119" s="21" t="s">
        <v>195</v>
      </c>
      <c r="E119" s="64"/>
      <c r="F119" s="64"/>
    </row>
    <row r="120" spans="1:13" s="27" customFormat="1" x14ac:dyDescent="0.45">
      <c r="A120" s="32" t="s">
        <v>233</v>
      </c>
      <c r="B120" s="18" t="s">
        <v>206</v>
      </c>
      <c r="C120" s="33" t="s">
        <v>198</v>
      </c>
      <c r="D120" s="28" t="s">
        <v>195</v>
      </c>
      <c r="E120" s="67"/>
      <c r="F120" s="67"/>
      <c r="G120" s="6"/>
      <c r="H120" s="6"/>
      <c r="I120" s="6"/>
    </row>
    <row r="121" spans="1:13" s="27" customFormat="1" x14ac:dyDescent="0.45">
      <c r="A121" s="34" t="s">
        <v>234</v>
      </c>
      <c r="B121" s="18" t="s">
        <v>206</v>
      </c>
      <c r="C121" s="33" t="s">
        <v>198</v>
      </c>
      <c r="D121" s="36" t="s">
        <v>217</v>
      </c>
      <c r="E121" s="67"/>
      <c r="F121" s="67"/>
      <c r="G121" s="6"/>
      <c r="H121" s="6"/>
      <c r="I121" s="6"/>
    </row>
    <row r="122" spans="1:13" s="27" customFormat="1" x14ac:dyDescent="0.45">
      <c r="A122" s="32" t="s">
        <v>235</v>
      </c>
      <c r="B122" s="18" t="s">
        <v>206</v>
      </c>
      <c r="C122" s="33" t="s">
        <v>198</v>
      </c>
      <c r="D122" s="36" t="s">
        <v>236</v>
      </c>
      <c r="E122" s="67"/>
      <c r="F122" s="67"/>
      <c r="G122" s="6"/>
      <c r="H122" s="6"/>
      <c r="I122" s="6"/>
    </row>
    <row r="123" spans="1:13" s="27" customFormat="1" x14ac:dyDescent="0.45">
      <c r="A123" s="32" t="s">
        <v>237</v>
      </c>
      <c r="B123" s="18" t="s">
        <v>206</v>
      </c>
      <c r="C123" s="33" t="s">
        <v>198</v>
      </c>
      <c r="D123" s="28" t="s">
        <v>195</v>
      </c>
      <c r="E123" s="67"/>
      <c r="F123" s="67"/>
      <c r="G123" s="6"/>
      <c r="H123" s="6"/>
      <c r="I123" s="6"/>
    </row>
    <row r="124" spans="1:13" x14ac:dyDescent="0.45">
      <c r="A124" s="20" t="s">
        <v>108</v>
      </c>
      <c r="B124" s="18" t="s">
        <v>200</v>
      </c>
      <c r="C124" s="23" t="s">
        <v>195</v>
      </c>
      <c r="D124" s="21" t="s">
        <v>195</v>
      </c>
      <c r="E124" s="64"/>
      <c r="F124" s="64"/>
    </row>
    <row r="125" spans="1:13" s="27" customFormat="1" x14ac:dyDescent="0.45">
      <c r="A125" s="32" t="s">
        <v>238</v>
      </c>
      <c r="B125" s="18" t="s">
        <v>206</v>
      </c>
      <c r="C125" s="33" t="s">
        <v>198</v>
      </c>
      <c r="D125" s="28" t="s">
        <v>195</v>
      </c>
      <c r="E125" s="67"/>
      <c r="F125" s="67"/>
      <c r="G125" s="6"/>
      <c r="H125" s="6"/>
      <c r="I125" s="6"/>
    </row>
    <row r="126" spans="1:13" s="27" customFormat="1" x14ac:dyDescent="0.45">
      <c r="A126" s="32" t="s">
        <v>239</v>
      </c>
      <c r="B126" s="18" t="s">
        <v>206</v>
      </c>
      <c r="C126" s="33" t="s">
        <v>198</v>
      </c>
      <c r="D126" s="28" t="s">
        <v>195</v>
      </c>
      <c r="E126" s="67"/>
      <c r="F126" s="67"/>
      <c r="G126" s="6"/>
      <c r="H126" s="6"/>
      <c r="I126" s="6"/>
    </row>
    <row r="127" spans="1:13" x14ac:dyDescent="0.45">
      <c r="A127" s="20" t="s">
        <v>109</v>
      </c>
      <c r="B127" s="18" t="s">
        <v>200</v>
      </c>
      <c r="C127" s="30" t="s">
        <v>240</v>
      </c>
      <c r="D127" s="31" t="s">
        <v>240</v>
      </c>
      <c r="E127" s="64"/>
      <c r="F127" s="64"/>
      <c r="K127" t="s">
        <v>272</v>
      </c>
    </row>
    <row r="128" spans="1:13" x14ac:dyDescent="0.45">
      <c r="A128" s="20" t="s">
        <v>110</v>
      </c>
      <c r="B128" s="18" t="s">
        <v>200</v>
      </c>
      <c r="C128" s="23" t="s">
        <v>195</v>
      </c>
      <c r="D128" s="21" t="s">
        <v>195</v>
      </c>
      <c r="E128" s="70" t="s">
        <v>170</v>
      </c>
      <c r="F128" s="64"/>
      <c r="K128" t="s">
        <v>272</v>
      </c>
      <c r="L128" t="s">
        <v>272</v>
      </c>
      <c r="M128" t="s">
        <v>272</v>
      </c>
    </row>
    <row r="129" spans="1:13" x14ac:dyDescent="0.45">
      <c r="A129" s="20" t="s">
        <v>111</v>
      </c>
      <c r="B129" s="18" t="s">
        <v>200</v>
      </c>
      <c r="C129" s="37" t="s">
        <v>241</v>
      </c>
      <c r="D129" s="31" t="s">
        <v>242</v>
      </c>
      <c r="E129" s="70"/>
      <c r="F129" s="64"/>
      <c r="K129" t="s">
        <v>272</v>
      </c>
      <c r="M129" t="s">
        <v>272</v>
      </c>
    </row>
    <row r="130" spans="1:13" ht="71.25" x14ac:dyDescent="0.45">
      <c r="A130" s="20" t="s">
        <v>112</v>
      </c>
      <c r="B130" s="18" t="s">
        <v>200</v>
      </c>
      <c r="C130" s="23" t="s">
        <v>195</v>
      </c>
      <c r="D130" s="21" t="s">
        <v>195</v>
      </c>
      <c r="E130" s="70" t="s">
        <v>170</v>
      </c>
      <c r="F130" s="64"/>
      <c r="G130" s="22" t="s">
        <v>243</v>
      </c>
      <c r="H130" s="22" t="s">
        <v>243</v>
      </c>
      <c r="I130" s="22" t="s">
        <v>243</v>
      </c>
    </row>
    <row r="131" spans="1:13" x14ac:dyDescent="0.45">
      <c r="A131" s="20" t="s">
        <v>113</v>
      </c>
      <c r="B131" s="18" t="s">
        <v>204</v>
      </c>
      <c r="C131" s="23" t="s">
        <v>195</v>
      </c>
      <c r="D131" s="21" t="s">
        <v>195</v>
      </c>
      <c r="E131" s="70"/>
      <c r="F131" s="64"/>
    </row>
    <row r="132" spans="1:13" ht="57" x14ac:dyDescent="0.45">
      <c r="A132" s="20" t="s">
        <v>114</v>
      </c>
      <c r="B132" s="18" t="s">
        <v>204</v>
      </c>
      <c r="C132" s="23" t="s">
        <v>195</v>
      </c>
      <c r="D132" s="21" t="s">
        <v>195</v>
      </c>
      <c r="E132" s="70" t="s">
        <v>170</v>
      </c>
      <c r="F132" s="64"/>
      <c r="I132" s="22" t="s">
        <v>244</v>
      </c>
    </row>
    <row r="133" spans="1:13" x14ac:dyDescent="0.45">
      <c r="A133" s="20" t="s">
        <v>115</v>
      </c>
      <c r="B133" s="18" t="s">
        <v>204</v>
      </c>
      <c r="C133" s="23" t="s">
        <v>195</v>
      </c>
      <c r="D133" s="21" t="s">
        <v>195</v>
      </c>
      <c r="E133" s="64"/>
      <c r="F133" s="64"/>
    </row>
    <row r="134" spans="1:13" s="27" customFormat="1" x14ac:dyDescent="0.45">
      <c r="A134" s="32" t="s">
        <v>245</v>
      </c>
      <c r="B134" s="18" t="s">
        <v>206</v>
      </c>
      <c r="C134" s="33" t="s">
        <v>198</v>
      </c>
      <c r="D134" s="28"/>
      <c r="E134" s="67"/>
      <c r="F134" s="67"/>
      <c r="G134" s="6"/>
      <c r="H134" s="6"/>
      <c r="I134" s="6"/>
    </row>
    <row r="135" spans="1:13" s="27" customFormat="1" x14ac:dyDescent="0.45">
      <c r="A135" s="32" t="s">
        <v>246</v>
      </c>
      <c r="B135" s="18" t="s">
        <v>206</v>
      </c>
      <c r="C135" s="33" t="s">
        <v>198</v>
      </c>
      <c r="D135" s="28"/>
      <c r="E135" s="67"/>
      <c r="F135" s="67"/>
      <c r="G135" s="6"/>
      <c r="H135" s="6"/>
      <c r="I135" s="6"/>
    </row>
    <row r="136" spans="1:13" s="27" customFormat="1" x14ac:dyDescent="0.45">
      <c r="A136" s="32" t="s">
        <v>247</v>
      </c>
      <c r="B136" s="18" t="s">
        <v>206</v>
      </c>
      <c r="C136" s="33" t="s">
        <v>198</v>
      </c>
      <c r="D136" s="28" t="s">
        <v>195</v>
      </c>
      <c r="E136" s="67"/>
      <c r="F136" s="67"/>
      <c r="G136" s="6"/>
      <c r="H136" s="6"/>
      <c r="I136" s="6"/>
    </row>
    <row r="137" spans="1:13" s="27" customFormat="1" x14ac:dyDescent="0.45">
      <c r="A137" s="38" t="s">
        <v>116</v>
      </c>
      <c r="B137" s="39" t="s">
        <v>204</v>
      </c>
      <c r="D137" s="40"/>
      <c r="E137" s="67"/>
      <c r="F137" s="67"/>
      <c r="G137" s="6"/>
      <c r="H137" s="6"/>
      <c r="I137" s="6"/>
    </row>
    <row r="138" spans="1:13" s="27" customFormat="1" x14ac:dyDescent="0.45">
      <c r="A138" s="32" t="s">
        <v>248</v>
      </c>
      <c r="B138" s="41" t="s">
        <v>206</v>
      </c>
      <c r="D138" s="40"/>
      <c r="E138" s="67"/>
      <c r="F138" s="67"/>
      <c r="G138" s="6"/>
      <c r="H138" s="6"/>
      <c r="I138" s="6"/>
    </row>
    <row r="139" spans="1:13" s="27" customFormat="1" x14ac:dyDescent="0.45">
      <c r="A139" s="32" t="s">
        <v>249</v>
      </c>
      <c r="B139" s="41" t="s">
        <v>206</v>
      </c>
      <c r="D139" s="41"/>
      <c r="E139" s="67"/>
      <c r="F139" s="67"/>
      <c r="G139" s="6"/>
      <c r="H139" s="6"/>
      <c r="I139" s="6"/>
    </row>
    <row r="140" spans="1:13" x14ac:dyDescent="0.45">
      <c r="A140" s="20" t="s">
        <v>117</v>
      </c>
      <c r="B140" s="18" t="s">
        <v>200</v>
      </c>
      <c r="C140" s="23" t="s">
        <v>195</v>
      </c>
      <c r="D140" s="21" t="s">
        <v>195</v>
      </c>
      <c r="E140" s="64"/>
      <c r="F140" s="64"/>
    </row>
    <row r="141" spans="1:13" x14ac:dyDescent="0.45">
      <c r="A141" s="20" t="s">
        <v>118</v>
      </c>
      <c r="B141" s="18" t="s">
        <v>200</v>
      </c>
      <c r="C141" s="23" t="s">
        <v>195</v>
      </c>
      <c r="D141" s="21" t="s">
        <v>195</v>
      </c>
      <c r="E141" s="64"/>
      <c r="F141" s="64"/>
    </row>
    <row r="142" spans="1:13" x14ac:dyDescent="0.45">
      <c r="A142" s="20" t="s">
        <v>119</v>
      </c>
      <c r="B142" s="18" t="s">
        <v>200</v>
      </c>
      <c r="C142" s="30" t="s">
        <v>217</v>
      </c>
      <c r="D142" s="31" t="s">
        <v>217</v>
      </c>
      <c r="E142" s="64"/>
      <c r="F142" s="64"/>
      <c r="M142" t="s">
        <v>272</v>
      </c>
    </row>
    <row r="143" spans="1:13" x14ac:dyDescent="0.45">
      <c r="A143" s="20" t="s">
        <v>120</v>
      </c>
      <c r="B143" s="18" t="s">
        <v>200</v>
      </c>
      <c r="C143" s="23" t="s">
        <v>195</v>
      </c>
      <c r="D143" s="21" t="s">
        <v>195</v>
      </c>
      <c r="E143" s="64"/>
      <c r="F143" s="64"/>
    </row>
    <row r="144" spans="1:13" s="27" customFormat="1" x14ac:dyDescent="0.45">
      <c r="A144" s="32" t="s">
        <v>250</v>
      </c>
      <c r="B144" s="18" t="s">
        <v>206</v>
      </c>
      <c r="C144" s="33" t="s">
        <v>198</v>
      </c>
      <c r="D144" s="28"/>
      <c r="E144" s="67"/>
      <c r="F144" s="67"/>
      <c r="G144" s="6"/>
      <c r="H144" s="6"/>
      <c r="I144" s="6"/>
    </row>
    <row r="145" spans="1:13" s="27" customFormat="1" x14ac:dyDescent="0.45">
      <c r="A145" s="32" t="s">
        <v>251</v>
      </c>
      <c r="B145" s="18" t="s">
        <v>206</v>
      </c>
      <c r="C145" s="33" t="s">
        <v>198</v>
      </c>
      <c r="D145" s="28" t="s">
        <v>195</v>
      </c>
      <c r="E145" s="67"/>
      <c r="F145" s="67"/>
      <c r="G145" s="6"/>
      <c r="H145" s="6"/>
      <c r="I145" s="6"/>
    </row>
    <row r="146" spans="1:13" s="27" customFormat="1" x14ac:dyDescent="0.45">
      <c r="A146" s="38" t="s">
        <v>121</v>
      </c>
      <c r="B146" s="18" t="s">
        <v>204</v>
      </c>
      <c r="D146" s="28"/>
      <c r="E146" s="67"/>
      <c r="F146" s="67"/>
      <c r="G146" s="6"/>
      <c r="H146" s="6"/>
      <c r="I146" s="6"/>
    </row>
    <row r="147" spans="1:13" s="27" customFormat="1" ht="57" x14ac:dyDescent="0.45">
      <c r="A147" s="38" t="s">
        <v>122</v>
      </c>
      <c r="B147" s="18" t="s">
        <v>204</v>
      </c>
      <c r="D147" s="28"/>
      <c r="E147" s="67"/>
      <c r="F147" s="67"/>
      <c r="G147" s="8" t="s">
        <v>220</v>
      </c>
      <c r="H147" s="8" t="s">
        <v>252</v>
      </c>
      <c r="I147" s="8" t="s">
        <v>252</v>
      </c>
    </row>
    <row r="148" spans="1:13" ht="42.75" x14ac:dyDescent="0.45">
      <c r="A148" s="20" t="s">
        <v>123</v>
      </c>
      <c r="B148" s="18" t="s">
        <v>200</v>
      </c>
      <c r="C148" s="30" t="s">
        <v>217</v>
      </c>
      <c r="D148" s="31" t="s">
        <v>217</v>
      </c>
      <c r="E148" s="70" t="s">
        <v>170</v>
      </c>
      <c r="F148" s="69"/>
      <c r="G148" s="22" t="s">
        <v>199</v>
      </c>
      <c r="H148" s="22" t="s">
        <v>199</v>
      </c>
      <c r="I148" s="22" t="s">
        <v>199</v>
      </c>
      <c r="K148" t="s">
        <v>272</v>
      </c>
      <c r="L148" t="s">
        <v>272</v>
      </c>
      <c r="M148" t="s">
        <v>272</v>
      </c>
    </row>
    <row r="149" spans="1:13" x14ac:dyDescent="0.45">
      <c r="A149" s="20" t="s">
        <v>124</v>
      </c>
      <c r="B149" s="18" t="s">
        <v>204</v>
      </c>
      <c r="C149" s="30" t="s">
        <v>236</v>
      </c>
      <c r="D149" s="31" t="s">
        <v>236</v>
      </c>
      <c r="E149" s="70" t="s">
        <v>170</v>
      </c>
      <c r="F149" s="66" t="s">
        <v>167</v>
      </c>
    </row>
    <row r="150" spans="1:13" s="27" customFormat="1" x14ac:dyDescent="0.45">
      <c r="A150" s="32" t="s">
        <v>253</v>
      </c>
      <c r="B150" s="18" t="s">
        <v>206</v>
      </c>
      <c r="C150" s="33" t="s">
        <v>198</v>
      </c>
      <c r="D150" s="28" t="s">
        <v>195</v>
      </c>
      <c r="E150" s="67"/>
      <c r="F150" s="67"/>
      <c r="G150" s="6"/>
      <c r="H150" s="6"/>
      <c r="I150" s="6"/>
    </row>
    <row r="151" spans="1:13" s="27" customFormat="1" x14ac:dyDescent="0.45">
      <c r="A151" s="32" t="s">
        <v>254</v>
      </c>
      <c r="B151" s="18" t="s">
        <v>206</v>
      </c>
      <c r="C151" s="33" t="s">
        <v>198</v>
      </c>
      <c r="D151" s="28" t="s">
        <v>195</v>
      </c>
      <c r="E151" s="67"/>
      <c r="F151" s="67"/>
      <c r="G151" s="6"/>
      <c r="H151" s="6"/>
      <c r="I151" s="6"/>
    </row>
    <row r="152" spans="1:13" s="27" customFormat="1" x14ac:dyDescent="0.45">
      <c r="A152" s="32" t="s">
        <v>255</v>
      </c>
      <c r="B152" s="18" t="s">
        <v>206</v>
      </c>
      <c r="C152" s="33" t="s">
        <v>198</v>
      </c>
      <c r="D152" s="43" t="s">
        <v>256</v>
      </c>
      <c r="E152" s="67"/>
      <c r="F152" s="67"/>
      <c r="G152" s="6"/>
      <c r="H152" s="6"/>
      <c r="I152" s="6"/>
    </row>
    <row r="153" spans="1:13" s="27" customFormat="1" x14ac:dyDescent="0.45">
      <c r="A153" s="32" t="s">
        <v>257</v>
      </c>
      <c r="B153" s="18" t="s">
        <v>206</v>
      </c>
      <c r="C153" s="33" t="s">
        <v>198</v>
      </c>
      <c r="D153" s="43" t="s">
        <v>256</v>
      </c>
      <c r="E153" s="67"/>
      <c r="F153" s="67"/>
      <c r="G153" s="6"/>
      <c r="H153" s="6"/>
      <c r="I153" s="6"/>
    </row>
    <row r="154" spans="1:13" x14ac:dyDescent="0.45">
      <c r="A154" s="20" t="s">
        <v>125</v>
      </c>
      <c r="B154" s="18" t="s">
        <v>200</v>
      </c>
      <c r="C154" s="23" t="s">
        <v>195</v>
      </c>
      <c r="D154" s="21" t="s">
        <v>195</v>
      </c>
      <c r="E154" s="64"/>
      <c r="F154" s="64"/>
    </row>
    <row r="155" spans="1:13" x14ac:dyDescent="0.45">
      <c r="A155" s="20" t="s">
        <v>126</v>
      </c>
      <c r="B155" s="18" t="s">
        <v>200</v>
      </c>
      <c r="C155" s="23" t="s">
        <v>195</v>
      </c>
      <c r="D155" s="21" t="s">
        <v>195</v>
      </c>
      <c r="E155" s="64"/>
      <c r="F155" s="64"/>
      <c r="K155" t="s">
        <v>272</v>
      </c>
    </row>
    <row r="156" spans="1:13" x14ac:dyDescent="0.45">
      <c r="A156" s="20" t="s">
        <v>127</v>
      </c>
      <c r="B156" s="18" t="s">
        <v>204</v>
      </c>
      <c r="C156" s="23" t="s">
        <v>195</v>
      </c>
      <c r="D156" s="21" t="s">
        <v>195</v>
      </c>
      <c r="E156" s="64"/>
      <c r="F156" s="64"/>
    </row>
    <row r="157" spans="1:13" x14ac:dyDescent="0.45">
      <c r="A157" s="20" t="s">
        <v>128</v>
      </c>
      <c r="B157" s="18" t="s">
        <v>204</v>
      </c>
      <c r="C157" s="23" t="s">
        <v>195</v>
      </c>
      <c r="D157" s="21" t="s">
        <v>195</v>
      </c>
      <c r="E157" s="64"/>
      <c r="F157" s="64"/>
    </row>
    <row r="158" spans="1:13" s="27" customFormat="1" x14ac:dyDescent="0.45">
      <c r="A158" s="32" t="s">
        <v>258</v>
      </c>
      <c r="B158" s="18" t="s">
        <v>206</v>
      </c>
      <c r="C158" s="33" t="s">
        <v>198</v>
      </c>
      <c r="D158" s="40"/>
      <c r="E158" s="67"/>
      <c r="F158" s="67"/>
      <c r="G158" s="6"/>
      <c r="H158" s="6"/>
      <c r="I158" s="6"/>
    </row>
    <row r="159" spans="1:13" s="27" customFormat="1" x14ac:dyDescent="0.45">
      <c r="A159" s="38" t="s">
        <v>129</v>
      </c>
      <c r="B159" s="16" t="s">
        <v>200</v>
      </c>
      <c r="D159" s="40"/>
      <c r="E159" s="67"/>
      <c r="F159" s="67"/>
      <c r="G159" s="6"/>
      <c r="H159" s="6"/>
      <c r="I159" s="6"/>
    </row>
    <row r="160" spans="1:13" x14ac:dyDescent="0.45">
      <c r="A160" s="20" t="s">
        <v>130</v>
      </c>
      <c r="B160" s="18" t="s">
        <v>200</v>
      </c>
      <c r="C160" s="23" t="s">
        <v>195</v>
      </c>
      <c r="D160" s="21" t="s">
        <v>195</v>
      </c>
      <c r="E160" s="64"/>
      <c r="F160" s="64" t="s">
        <v>281</v>
      </c>
    </row>
    <row r="161" spans="1:13" x14ac:dyDescent="0.45">
      <c r="A161" s="20" t="s">
        <v>131</v>
      </c>
      <c r="B161" s="18" t="s">
        <v>200</v>
      </c>
      <c r="C161" s="23" t="s">
        <v>195</v>
      </c>
      <c r="D161" s="21" t="s">
        <v>195</v>
      </c>
      <c r="E161" s="64"/>
      <c r="F161" s="64" t="s">
        <v>281</v>
      </c>
    </row>
    <row r="162" spans="1:13" x14ac:dyDescent="0.45">
      <c r="A162" s="20" t="s">
        <v>132</v>
      </c>
      <c r="B162" s="18" t="s">
        <v>204</v>
      </c>
      <c r="C162" s="23" t="s">
        <v>195</v>
      </c>
      <c r="D162" s="21" t="s">
        <v>195</v>
      </c>
      <c r="E162" s="64"/>
      <c r="F162" s="66" t="s">
        <v>171</v>
      </c>
    </row>
    <row r="163" spans="1:13" x14ac:dyDescent="0.45">
      <c r="A163" s="20" t="s">
        <v>133</v>
      </c>
      <c r="B163" s="18" t="s">
        <v>204</v>
      </c>
      <c r="C163" s="23" t="s">
        <v>195</v>
      </c>
      <c r="D163" s="24" t="s">
        <v>196</v>
      </c>
      <c r="E163" s="64"/>
      <c r="F163" s="64"/>
    </row>
    <row r="164" spans="1:13" s="27" customFormat="1" x14ac:dyDescent="0.45">
      <c r="A164" s="32" t="s">
        <v>259</v>
      </c>
      <c r="B164" s="18" t="s">
        <v>206</v>
      </c>
      <c r="C164" s="33" t="s">
        <v>198</v>
      </c>
      <c r="D164" s="40"/>
      <c r="E164" s="67"/>
      <c r="F164" s="67"/>
      <c r="G164" s="6"/>
      <c r="H164" s="6"/>
      <c r="I164" s="6"/>
    </row>
    <row r="165" spans="1:13" s="27" customFormat="1" x14ac:dyDescent="0.45">
      <c r="A165" s="32" t="s">
        <v>260</v>
      </c>
      <c r="B165" s="18" t="s">
        <v>206</v>
      </c>
      <c r="C165" s="33" t="s">
        <v>198</v>
      </c>
      <c r="D165" s="40"/>
      <c r="E165" s="67"/>
      <c r="F165" s="67"/>
      <c r="G165" s="6"/>
      <c r="H165" s="6"/>
      <c r="I165" s="6"/>
    </row>
    <row r="166" spans="1:13" s="27" customFormat="1" x14ac:dyDescent="0.45">
      <c r="A166" s="38" t="s">
        <v>134</v>
      </c>
      <c r="B166" s="39" t="s">
        <v>200</v>
      </c>
      <c r="D166" s="40"/>
      <c r="E166" s="67"/>
      <c r="F166" s="67"/>
      <c r="G166" s="6"/>
      <c r="H166" s="6"/>
      <c r="I166" s="6"/>
    </row>
    <row r="167" spans="1:13" s="27" customFormat="1" x14ac:dyDescent="0.45">
      <c r="A167" s="38" t="s">
        <v>135</v>
      </c>
      <c r="B167" s="39" t="s">
        <v>204</v>
      </c>
      <c r="D167" s="40"/>
      <c r="E167" s="67"/>
      <c r="F167" s="67"/>
      <c r="G167" s="6"/>
      <c r="H167" s="6"/>
      <c r="I167" s="6"/>
    </row>
    <row r="168" spans="1:13" s="27" customFormat="1" x14ac:dyDescent="0.45">
      <c r="A168" s="32" t="s">
        <v>261</v>
      </c>
      <c r="B168" s="41" t="s">
        <v>206</v>
      </c>
      <c r="D168" s="40"/>
      <c r="E168" s="67"/>
      <c r="F168" s="67"/>
      <c r="G168" s="6"/>
      <c r="H168" s="6"/>
      <c r="I168" s="6"/>
    </row>
    <row r="169" spans="1:13" ht="42.75" x14ac:dyDescent="0.45">
      <c r="A169" s="20" t="s">
        <v>136</v>
      </c>
      <c r="B169" s="18" t="s">
        <v>200</v>
      </c>
      <c r="D169" s="21" t="s">
        <v>195</v>
      </c>
      <c r="E169" s="64"/>
      <c r="F169" s="64"/>
      <c r="G169" s="22" t="s">
        <v>199</v>
      </c>
      <c r="H169" s="22" t="s">
        <v>199</v>
      </c>
      <c r="I169" s="22" t="s">
        <v>199</v>
      </c>
      <c r="K169" t="s">
        <v>272</v>
      </c>
      <c r="L169" t="s">
        <v>272</v>
      </c>
      <c r="M169" t="s">
        <v>272</v>
      </c>
    </row>
    <row r="170" spans="1:13" x14ac:dyDescent="0.45">
      <c r="A170" s="20" t="s">
        <v>137</v>
      </c>
      <c r="B170" s="18" t="s">
        <v>204</v>
      </c>
      <c r="D170" s="24" t="s">
        <v>196</v>
      </c>
      <c r="E170" s="64"/>
      <c r="F170" s="64"/>
    </row>
    <row r="171" spans="1:13" x14ac:dyDescent="0.45">
      <c r="A171" s="20" t="s">
        <v>138</v>
      </c>
      <c r="B171" s="18" t="s">
        <v>1</v>
      </c>
      <c r="E171" s="64"/>
      <c r="F171" s="64"/>
    </row>
    <row r="172" spans="1:13" x14ac:dyDescent="0.45">
      <c r="A172" s="29" t="s">
        <v>139</v>
      </c>
      <c r="B172" s="16" t="s">
        <v>1</v>
      </c>
      <c r="C172" s="23" t="s">
        <v>195</v>
      </c>
      <c r="D172" s="21" t="s">
        <v>195</v>
      </c>
      <c r="E172" s="64"/>
      <c r="F172" s="64"/>
    </row>
    <row r="173" spans="1:13" x14ac:dyDescent="0.45">
      <c r="A173" s="20" t="s">
        <v>141</v>
      </c>
      <c r="B173" s="18" t="s">
        <v>1</v>
      </c>
      <c r="C173" s="23" t="s">
        <v>195</v>
      </c>
      <c r="D173" s="21" t="s">
        <v>195</v>
      </c>
      <c r="E173" s="64"/>
      <c r="F173" s="64"/>
    </row>
    <row r="174" spans="1:13" x14ac:dyDescent="0.45">
      <c r="A174" s="20" t="s">
        <v>142</v>
      </c>
      <c r="B174" s="18" t="s">
        <v>1</v>
      </c>
      <c r="C174" s="23" t="s">
        <v>195</v>
      </c>
      <c r="D174" s="21" t="s">
        <v>262</v>
      </c>
      <c r="E174" s="64"/>
      <c r="F174" s="64"/>
    </row>
    <row r="175" spans="1:13" x14ac:dyDescent="0.45">
      <c r="A175" s="20" t="s">
        <v>143</v>
      </c>
      <c r="B175" s="18" t="s">
        <v>1</v>
      </c>
      <c r="C175" s="23" t="s">
        <v>195</v>
      </c>
      <c r="D175" s="21" t="s">
        <v>195</v>
      </c>
      <c r="E175" s="64"/>
      <c r="F175" s="64"/>
    </row>
    <row r="176" spans="1:13" x14ac:dyDescent="0.45">
      <c r="A176" s="29" t="s">
        <v>144</v>
      </c>
      <c r="B176" s="16" t="s">
        <v>1</v>
      </c>
      <c r="E176" s="64"/>
      <c r="F176" s="64"/>
    </row>
    <row r="177" spans="1:6" x14ac:dyDescent="0.45">
      <c r="A177" s="29" t="s">
        <v>145</v>
      </c>
      <c r="B177" s="16" t="s">
        <v>1</v>
      </c>
      <c r="E177" s="64"/>
      <c r="F177" s="64"/>
    </row>
    <row r="178" spans="1:6" x14ac:dyDescent="0.45">
      <c r="A178" s="19" t="s">
        <v>146</v>
      </c>
      <c r="B178" s="16" t="s">
        <v>1</v>
      </c>
      <c r="E178" s="64"/>
      <c r="F178" s="64"/>
    </row>
    <row r="179" spans="1:6" x14ac:dyDescent="0.45">
      <c r="A179" s="20" t="s">
        <v>147</v>
      </c>
      <c r="B179" s="16" t="s">
        <v>1</v>
      </c>
      <c r="E179" s="64"/>
      <c r="F179" s="64"/>
    </row>
    <row r="180" spans="1:6" x14ac:dyDescent="0.45">
      <c r="A180" s="20" t="s">
        <v>148</v>
      </c>
      <c r="B180" s="16" t="s">
        <v>1</v>
      </c>
      <c r="E180" s="64"/>
      <c r="F180" s="64"/>
    </row>
    <row r="181" spans="1:6" x14ac:dyDescent="0.45">
      <c r="A181" s="20" t="s">
        <v>149</v>
      </c>
      <c r="B181" s="16" t="s">
        <v>1</v>
      </c>
      <c r="E181" s="64"/>
      <c r="F181" s="64"/>
    </row>
    <row r="182" spans="1:6" x14ac:dyDescent="0.45">
      <c r="A182" s="20" t="s">
        <v>150</v>
      </c>
      <c r="B182" s="16" t="s">
        <v>1</v>
      </c>
      <c r="E182" s="64"/>
      <c r="F182" s="64"/>
    </row>
    <row r="183" spans="1:6" x14ac:dyDescent="0.45">
      <c r="A183" s="20" t="s">
        <v>151</v>
      </c>
      <c r="B183" s="16" t="s">
        <v>1</v>
      </c>
      <c r="E183" s="64"/>
      <c r="F183" s="64"/>
    </row>
    <row r="184" spans="1:6" x14ac:dyDescent="0.45">
      <c r="A184" s="20" t="s">
        <v>152</v>
      </c>
      <c r="B184" s="16" t="s">
        <v>1</v>
      </c>
      <c r="E184" s="64"/>
      <c r="F184" s="64"/>
    </row>
    <row r="185" spans="1:6" x14ac:dyDescent="0.45">
      <c r="A185" s="20" t="s">
        <v>153</v>
      </c>
      <c r="B185" s="16" t="s">
        <v>1</v>
      </c>
      <c r="E185" s="64"/>
      <c r="F185" s="64"/>
    </row>
    <row r="186" spans="1:6" x14ac:dyDescent="0.45">
      <c r="A186" s="20" t="s">
        <v>154</v>
      </c>
      <c r="B186" s="16" t="s">
        <v>1</v>
      </c>
      <c r="E186" s="64"/>
      <c r="F186" s="64"/>
    </row>
    <row r="187" spans="1:6" x14ac:dyDescent="0.45">
      <c r="A187" s="15" t="s">
        <v>155</v>
      </c>
      <c r="B187" s="16"/>
      <c r="E187" s="64"/>
      <c r="F187" s="64"/>
    </row>
    <row r="188" spans="1:6" x14ac:dyDescent="0.45">
      <c r="A188" s="25" t="s">
        <v>156</v>
      </c>
      <c r="B188" s="16" t="s">
        <v>1</v>
      </c>
      <c r="E188" s="64"/>
      <c r="F188" s="64"/>
    </row>
    <row r="189" spans="1:6" x14ac:dyDescent="0.45">
      <c r="A189" t="s">
        <v>157</v>
      </c>
      <c r="B189" s="18" t="s">
        <v>158</v>
      </c>
      <c r="C189" s="37" t="s">
        <v>256</v>
      </c>
      <c r="D189" s="21" t="s">
        <v>256</v>
      </c>
      <c r="E189" s="64"/>
      <c r="F189" s="64"/>
    </row>
    <row r="190" spans="1:6" x14ac:dyDescent="0.45">
      <c r="A190" t="s">
        <v>159</v>
      </c>
      <c r="B190" s="18" t="s">
        <v>158</v>
      </c>
      <c r="C190" s="37" t="s">
        <v>256</v>
      </c>
      <c r="D190" s="21" t="s">
        <v>256</v>
      </c>
      <c r="E190" s="64"/>
      <c r="F190" s="64"/>
    </row>
    <row r="191" spans="1:6" x14ac:dyDescent="0.45">
      <c r="A191" t="s">
        <v>160</v>
      </c>
      <c r="B191" s="18" t="s">
        <v>158</v>
      </c>
      <c r="C191" s="37" t="s">
        <v>256</v>
      </c>
      <c r="D191" s="21" t="s">
        <v>256</v>
      </c>
      <c r="E191" s="64"/>
      <c r="F191" s="64"/>
    </row>
    <row r="192" spans="1:6" x14ac:dyDescent="0.45">
      <c r="A192" t="s">
        <v>161</v>
      </c>
      <c r="B192" s="18" t="s">
        <v>158</v>
      </c>
      <c r="D192" s="24" t="s">
        <v>196</v>
      </c>
      <c r="E192" s="64"/>
      <c r="F192" s="64"/>
    </row>
    <row r="193" spans="1:10" x14ac:dyDescent="0.45">
      <c r="A193" t="s">
        <v>263</v>
      </c>
      <c r="B193" s="18" t="s">
        <v>140</v>
      </c>
      <c r="E193" s="64"/>
      <c r="F193" s="64"/>
    </row>
    <row r="194" spans="1:10" x14ac:dyDescent="0.45">
      <c r="A194" s="9"/>
      <c r="B194" s="45"/>
      <c r="E194" s="64"/>
      <c r="F194" s="64"/>
    </row>
    <row r="195" spans="1:10" x14ac:dyDescent="0.45">
      <c r="A195" t="s">
        <v>264</v>
      </c>
      <c r="B195" s="18">
        <f>COUNTIF($B$2:$B$194,"A")</f>
        <v>31</v>
      </c>
      <c r="C195" s="47">
        <f>COUNTIFS($B$2:$B$194,"=A",C$2:C$194,"*")</f>
        <v>27</v>
      </c>
      <c r="D195" s="53">
        <f t="shared" ref="D195:J195" si="0">COUNTIFS($B$2:$B$194,"=A",D$2:D$194,"*")</f>
        <v>29</v>
      </c>
      <c r="E195" s="71">
        <f>COUNTIFS($B$2:$B$194,"=A",E$2:E$194,"*")</f>
        <v>4</v>
      </c>
      <c r="F195" s="71">
        <f>COUNTIFS($B$2:$B$194,"=A",F$2:F$194,"*")</f>
        <v>6</v>
      </c>
      <c r="G195" s="47">
        <f t="shared" si="0"/>
        <v>7</v>
      </c>
      <c r="H195" s="47">
        <f t="shared" si="0"/>
        <v>5</v>
      </c>
      <c r="I195" s="47">
        <f t="shared" si="0"/>
        <v>7</v>
      </c>
      <c r="J195" s="47">
        <f t="shared" si="0"/>
        <v>2</v>
      </c>
    </row>
    <row r="196" spans="1:10" x14ac:dyDescent="0.45">
      <c r="A196" t="s">
        <v>265</v>
      </c>
      <c r="B196" s="18">
        <f>COUNTIF($B$2:$B$194,"AA")</f>
        <v>24</v>
      </c>
      <c r="C196" s="48">
        <f>COUNTIFS($B$2:$B$194,"=AA",C$2:C$194,"*")</f>
        <v>19</v>
      </c>
      <c r="D196" s="54">
        <f t="shared" ref="D196:J196" si="1">COUNTIFS($B$2:$B$194,"=AA",D$2:D$194,"*")</f>
        <v>20</v>
      </c>
      <c r="E196" s="72">
        <f>COUNTIFS($B$2:$B$194,"=AA",E$2:E$194,"*")</f>
        <v>2</v>
      </c>
      <c r="F196" s="72">
        <f>COUNTIFS($B$2:$B$194,"=AA",F$2:F$194,"*")</f>
        <v>2</v>
      </c>
      <c r="G196" s="48">
        <f t="shared" si="1"/>
        <v>3</v>
      </c>
      <c r="H196" s="48">
        <f t="shared" si="1"/>
        <v>3</v>
      </c>
      <c r="I196" s="48">
        <f t="shared" si="1"/>
        <v>4</v>
      </c>
      <c r="J196" s="48">
        <f t="shared" si="1"/>
        <v>0</v>
      </c>
    </row>
    <row r="197" spans="1:10" s="27" customFormat="1" x14ac:dyDescent="0.45">
      <c r="A197" s="42" t="s">
        <v>266</v>
      </c>
      <c r="B197" s="40">
        <f>COUNTIF($B$2:$B$194,"AAA")</f>
        <v>31</v>
      </c>
      <c r="C197" s="49">
        <v>0</v>
      </c>
      <c r="D197" s="55">
        <v>1</v>
      </c>
      <c r="E197" s="73">
        <v>6</v>
      </c>
      <c r="F197" s="73">
        <v>7</v>
      </c>
      <c r="G197" s="49">
        <v>2</v>
      </c>
      <c r="H197" s="49">
        <v>3</v>
      </c>
      <c r="I197" s="49">
        <v>4</v>
      </c>
      <c r="J197" s="49">
        <v>5</v>
      </c>
    </row>
    <row r="198" spans="1:10" s="35" customFormat="1" x14ac:dyDescent="0.45">
      <c r="A198" t="s">
        <v>268</v>
      </c>
      <c r="B198" s="46">
        <f>COUNTIF($B$2:$B$194,"shall")</f>
        <v>97</v>
      </c>
      <c r="C198" s="48">
        <f>COUNTIFS($B$2:$B$194,"=shall",C$2:C$194,"*")</f>
        <v>12</v>
      </c>
      <c r="D198" s="54">
        <f t="shared" ref="D198:J198" si="2">COUNTIFS($B$2:$B$194,"=shall",D$2:D$194,"*")</f>
        <v>35</v>
      </c>
      <c r="E198" s="72">
        <f>COUNTIFS($B$2:$B$194,"=shall",E$2:E$194,"*")</f>
        <v>0</v>
      </c>
      <c r="F198" s="72">
        <f>COUNTIFS($B$2:$B$194,"=shall",F$2:F$194,"*")</f>
        <v>0</v>
      </c>
      <c r="G198" s="48">
        <f t="shared" si="2"/>
        <v>1</v>
      </c>
      <c r="H198" s="48">
        <f t="shared" si="2"/>
        <v>0</v>
      </c>
      <c r="I198" s="48">
        <f t="shared" si="2"/>
        <v>0</v>
      </c>
      <c r="J198" s="48">
        <f t="shared" si="2"/>
        <v>0</v>
      </c>
    </row>
    <row r="199" spans="1:10" s="27" customFormat="1" x14ac:dyDescent="0.45">
      <c r="A199" s="52" t="s">
        <v>267</v>
      </c>
      <c r="B199" s="50">
        <f>COUNTIF($B$2:$B$194,"should")</f>
        <v>4</v>
      </c>
      <c r="C199" s="51">
        <v>0</v>
      </c>
      <c r="D199" s="56">
        <v>1</v>
      </c>
      <c r="E199" s="74">
        <v>6</v>
      </c>
      <c r="F199" s="74">
        <v>7</v>
      </c>
      <c r="G199" s="51">
        <v>2</v>
      </c>
      <c r="H199" s="51">
        <v>3</v>
      </c>
      <c r="I199" s="51">
        <v>4</v>
      </c>
      <c r="J199" s="51">
        <v>5</v>
      </c>
    </row>
    <row r="200" spans="1:10" x14ac:dyDescent="0.45">
      <c r="B200" s="18">
        <f t="shared" ref="B200" si="3">SUM(B195:B199)</f>
        <v>187</v>
      </c>
      <c r="C200" s="17">
        <f>SUM(C195:C199)</f>
        <v>58</v>
      </c>
      <c r="D200" s="44">
        <f t="shared" ref="D200:J200" si="4">SUM(D195:D199)</f>
        <v>86</v>
      </c>
      <c r="E200" s="75">
        <f>SUM(E195:E199)</f>
        <v>18</v>
      </c>
      <c r="F200" s="75">
        <f>SUM(F195:F199)</f>
        <v>22</v>
      </c>
      <c r="G200" s="17">
        <f t="shared" si="4"/>
        <v>15</v>
      </c>
      <c r="H200" s="17">
        <f t="shared" si="4"/>
        <v>14</v>
      </c>
      <c r="I200" s="17">
        <f t="shared" si="4"/>
        <v>19</v>
      </c>
      <c r="J200" s="17">
        <f t="shared" si="4"/>
        <v>12</v>
      </c>
    </row>
    <row r="201" spans="1:10" x14ac:dyDescent="0.45">
      <c r="B201" s="18">
        <f>B200-B197-B199</f>
        <v>152</v>
      </c>
      <c r="C201" s="17">
        <f>C$195+C$196+C198</f>
        <v>58</v>
      </c>
      <c r="D201" s="44">
        <f t="shared" ref="D201:J201" si="5">D$195+D$196+D198</f>
        <v>84</v>
      </c>
      <c r="E201" s="75">
        <f>E$195+E$196+E198</f>
        <v>6</v>
      </c>
      <c r="F201" s="75">
        <f>F$195+F$196+F198</f>
        <v>8</v>
      </c>
      <c r="G201" s="17">
        <f t="shared" si="5"/>
        <v>11</v>
      </c>
      <c r="H201" s="17">
        <f t="shared" si="5"/>
        <v>8</v>
      </c>
      <c r="I201" s="17">
        <f t="shared" si="5"/>
        <v>11</v>
      </c>
      <c r="J201" s="17">
        <f t="shared" si="5"/>
        <v>2</v>
      </c>
    </row>
  </sheetData>
  <conditionalFormatting sqref="A1:A90">
    <cfRule type="cellIs" dxfId="15" priority="16" operator="equal">
      <formula>""</formula>
    </cfRule>
  </conditionalFormatting>
  <conditionalFormatting sqref="A95:A99 A101:A105 A110:A115 A117:A119 A124">
    <cfRule type="cellIs" dxfId="14" priority="15" operator="equal">
      <formula>""</formula>
    </cfRule>
  </conditionalFormatting>
  <conditionalFormatting sqref="A127:A134">
    <cfRule type="cellIs" dxfId="13" priority="14" operator="equal">
      <formula>""</formula>
    </cfRule>
  </conditionalFormatting>
  <conditionalFormatting sqref="A137">
    <cfRule type="cellIs" dxfId="12" priority="13" operator="equal">
      <formula>""</formula>
    </cfRule>
  </conditionalFormatting>
  <conditionalFormatting sqref="A140:A143">
    <cfRule type="cellIs" dxfId="11" priority="12" operator="equal">
      <formula>""</formula>
    </cfRule>
  </conditionalFormatting>
  <conditionalFormatting sqref="A146:A149 A154:A157">
    <cfRule type="cellIs" dxfId="10" priority="11" operator="equal">
      <formula>""</formula>
    </cfRule>
  </conditionalFormatting>
  <conditionalFormatting sqref="A159:A163">
    <cfRule type="cellIs" dxfId="9" priority="10" operator="equal">
      <formula>""</formula>
    </cfRule>
  </conditionalFormatting>
  <conditionalFormatting sqref="A166:A167">
    <cfRule type="cellIs" dxfId="8" priority="9" operator="equal">
      <formula>""</formula>
    </cfRule>
  </conditionalFormatting>
  <conditionalFormatting sqref="A189:A193">
    <cfRule type="cellIs" dxfId="7" priority="4" operator="equal">
      <formula>""</formula>
    </cfRule>
  </conditionalFormatting>
  <conditionalFormatting sqref="C172:C175 C195:J199">
    <cfRule type="cellIs" dxfId="6" priority="7" operator="equal">
      <formula>"manuell"</formula>
    </cfRule>
  </conditionalFormatting>
  <conditionalFormatting sqref="C1:F1 C27 D54:F56 C76:F136 C140:C145 C148:C158 C160:C165 C189:C191 C219:C1048576">
    <cfRule type="cellIs" dxfId="5" priority="18" operator="equal">
      <formula>"manuell"</formula>
    </cfRule>
  </conditionalFormatting>
  <conditionalFormatting sqref="D26:F26">
    <cfRule type="cellIs" dxfId="4" priority="19" operator="equal">
      <formula>"nicht abgedeckt"</formula>
    </cfRule>
  </conditionalFormatting>
  <conditionalFormatting sqref="D26:F28 D48:F48 D51:F52 D60:F60 D66:F73 D140:F154">
    <cfRule type="cellIs" dxfId="3" priority="23" operator="equal">
      <formula>"manuell"</formula>
    </cfRule>
  </conditionalFormatting>
  <conditionalFormatting sqref="F155">
    <cfRule type="cellIs" dxfId="2" priority="3" operator="equal">
      <formula>"manuell"</formula>
    </cfRule>
  </conditionalFormatting>
  <conditionalFormatting sqref="F160">
    <cfRule type="cellIs" dxfId="1" priority="2" operator="equal">
      <formula>"manuell"</formula>
    </cfRule>
  </conditionalFormatting>
  <conditionalFormatting sqref="F161">
    <cfRule type="cellIs" dxfId="0" priority="1" operator="equal">
      <formula>"manuell"</formula>
    </cfRule>
  </conditionalFormatting>
  <pageMargins left="0.7" right="0.7" top="0.78740157500000008" bottom="0.78740157500000008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6424F-F927-4DEE-86F6-CA0EBBA8D988}">
  <dimension ref="A1:C15"/>
  <sheetViews>
    <sheetView zoomScale="160" zoomScaleNormal="160" workbookViewId="0">
      <selection activeCell="A8" sqref="A8"/>
    </sheetView>
  </sheetViews>
  <sheetFormatPr baseColWidth="10" defaultRowHeight="14.25" x14ac:dyDescent="0.45"/>
  <cols>
    <col min="2" max="2" width="48.796875" customWidth="1"/>
    <col min="3" max="3" width="23.33203125" customWidth="1"/>
  </cols>
  <sheetData>
    <row r="1" spans="1:3" x14ac:dyDescent="0.45">
      <c r="A1" s="9" t="s">
        <v>176</v>
      </c>
      <c r="B1" s="59" t="s">
        <v>274</v>
      </c>
      <c r="C1" s="59" t="s">
        <v>275</v>
      </c>
    </row>
    <row r="3" spans="1:3" x14ac:dyDescent="0.45">
      <c r="A3">
        <v>2</v>
      </c>
      <c r="B3" t="s">
        <v>177</v>
      </c>
    </row>
    <row r="4" spans="1:3" x14ac:dyDescent="0.45">
      <c r="A4">
        <v>1</v>
      </c>
      <c r="B4" t="s">
        <v>178</v>
      </c>
    </row>
    <row r="5" spans="1:3" x14ac:dyDescent="0.45">
      <c r="A5">
        <v>0</v>
      </c>
      <c r="C5" s="60" t="s">
        <v>278</v>
      </c>
    </row>
    <row r="6" spans="1:3" x14ac:dyDescent="0.45">
      <c r="A6">
        <v>-1</v>
      </c>
      <c r="B6" t="s">
        <v>179</v>
      </c>
      <c r="C6" s="58" t="s">
        <v>273</v>
      </c>
    </row>
    <row r="7" spans="1:3" x14ac:dyDescent="0.45">
      <c r="A7">
        <v>-2</v>
      </c>
      <c r="B7" s="58" t="s">
        <v>276</v>
      </c>
    </row>
    <row r="8" spans="1:3" x14ac:dyDescent="0.45">
      <c r="A8" t="s">
        <v>180</v>
      </c>
    </row>
    <row r="9" spans="1:3" x14ac:dyDescent="0.45">
      <c r="A9" s="58" t="s">
        <v>277</v>
      </c>
    </row>
    <row r="11" spans="1:3" x14ac:dyDescent="0.45">
      <c r="A11" t="s">
        <v>181</v>
      </c>
    </row>
    <row r="12" spans="1:3" x14ac:dyDescent="0.45">
      <c r="B12" t="s">
        <v>182</v>
      </c>
    </row>
    <row r="13" spans="1:3" x14ac:dyDescent="0.45">
      <c r="B13" t="s">
        <v>183</v>
      </c>
    </row>
    <row r="14" spans="1:3" x14ac:dyDescent="0.45">
      <c r="B14" t="s">
        <v>184</v>
      </c>
    </row>
    <row r="15" spans="1:3" x14ac:dyDescent="0.45">
      <c r="A15" s="10" t="s">
        <v>185</v>
      </c>
    </row>
  </sheetData>
  <hyperlinks>
    <hyperlink ref="A15" r:id="rId1" display="Wikipedia (2026)" xr:uid="{D62AB9EB-D87E-47CE-A8F5-08F7E0C2AB4F}"/>
  </hyperlinks>
  <pageMargins left="0.7" right="0.7" top="0.78740157499999996" bottom="0.78740157499999996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53C31-256B-4FBC-971D-951BAA2CE278}">
  <dimension ref="A1:A4"/>
  <sheetViews>
    <sheetView workbookViewId="0">
      <selection activeCell="A3" sqref="A3"/>
    </sheetView>
  </sheetViews>
  <sheetFormatPr baseColWidth="10" defaultRowHeight="14.25" x14ac:dyDescent="0.45"/>
  <cols>
    <col min="1" max="1" width="98.9296875" style="5" customWidth="1"/>
  </cols>
  <sheetData>
    <row r="1" spans="1:1" ht="42.75" x14ac:dyDescent="0.45">
      <c r="A1" s="5" t="s">
        <v>186</v>
      </c>
    </row>
    <row r="2" spans="1:1" ht="28.5" x14ac:dyDescent="0.45">
      <c r="A2" s="5" t="s">
        <v>173</v>
      </c>
    </row>
    <row r="3" spans="1:1" ht="42.75" x14ac:dyDescent="0.45">
      <c r="A3" s="5" t="s">
        <v>279</v>
      </c>
    </row>
    <row r="4" spans="1:1" ht="28.5" x14ac:dyDescent="0.45">
      <c r="A4" s="5" t="s">
        <v>172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Foreword</vt:lpstr>
      <vt:lpstr>Web</vt:lpstr>
      <vt:lpstr>HdM Scale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Gottfried Zimmermann</dc:creator>
  <cp:lastModifiedBy>Gottfried Zimmermann</cp:lastModifiedBy>
  <cp:revision>12</cp:revision>
  <dcterms:created xsi:type="dcterms:W3CDTF">2020-03-02T11:11:42Z</dcterms:created>
  <dcterms:modified xsi:type="dcterms:W3CDTF">2026-10-13T17:29:14Z</dcterms:modified>
</cp:coreProperties>
</file>