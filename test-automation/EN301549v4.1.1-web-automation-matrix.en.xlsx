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70EABF83-469B-4E6A-8394-767CC75D70B5}" xr6:coauthVersionLast="47" xr6:coauthVersionMax="47" xr10:uidLastSave="{00000000-0000-0000-0000-000000000000}"/>
  <bookViews>
    <workbookView xWindow="-98" yWindow="-98" windowWidth="21795" windowHeight="14116" activeTab="2" xr2:uid="{00000000-000D-0000-FFFF-FFFF00000000}"/>
  </bookViews>
  <sheets>
    <sheet name="Foreword" sheetId="1" r:id="rId1"/>
    <sheet name="Web" sheetId="21" r:id="rId2"/>
    <sheet name="HdM Scale" sheetId="20" r:id="rId3"/>
    <sheet name="References" sheetId="19" r:id="rId4"/>
  </sheets>
  <definedNames>
    <definedName name="_xlnm._FilterDatabase" localSheetId="1" hidden="1">Web!$A$1:$C$193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5" i="21" l="1"/>
  <c r="E195" i="21"/>
  <c r="F195" i="21"/>
  <c r="G195" i="21"/>
  <c r="H195" i="21"/>
  <c r="I195" i="21"/>
  <c r="J195" i="21"/>
  <c r="D196" i="21"/>
  <c r="E196" i="21"/>
  <c r="F196" i="21"/>
  <c r="G196" i="21"/>
  <c r="H196" i="21"/>
  <c r="I196" i="21"/>
  <c r="J196" i="21"/>
  <c r="D198" i="21"/>
  <c r="E198" i="21"/>
  <c r="F198" i="21"/>
  <c r="G198" i="21"/>
  <c r="H198" i="21"/>
  <c r="I198" i="21"/>
  <c r="I200" i="21" s="1"/>
  <c r="J198" i="21"/>
  <c r="J200" i="21" s="1"/>
  <c r="D200" i="21"/>
  <c r="E200" i="21"/>
  <c r="F200" i="21"/>
  <c r="G200" i="21"/>
  <c r="H200" i="21"/>
  <c r="D201" i="21"/>
  <c r="E201" i="21"/>
  <c r="F201" i="21"/>
  <c r="G201" i="21"/>
  <c r="H201" i="21"/>
  <c r="I201" i="21"/>
  <c r="J201" i="21"/>
  <c r="B199" i="21"/>
  <c r="C198" i="21"/>
  <c r="B198" i="21"/>
  <c r="B197" i="21"/>
  <c r="C196" i="21"/>
  <c r="B196" i="21"/>
  <c r="C195" i="21"/>
  <c r="B195" i="21"/>
  <c r="B200" i="21" l="1"/>
  <c r="B201" i="21" s="1"/>
  <c r="C201" i="21"/>
  <c r="C20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62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89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87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</authors>
  <commentList>
    <comment ref="C5" authorId="0" shapeId="0" xr:uid="{4340225E-0A54-4AFE-B75A-83F4074D0022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True negatives are ignored for the purpose of averaging over multiple instances of criteria applications.</t>
        </r>
      </text>
    </comment>
  </commentList>
</comments>
</file>

<file path=xl/sharedStrings.xml><?xml version="1.0" encoding="utf-8"?>
<sst xmlns="http://schemas.openxmlformats.org/spreadsheetml/2006/main" count="699" uniqueCount="282">
  <si>
    <t>5.1.2.1 Closed functionality</t>
  </si>
  <si>
    <t>shall</t>
  </si>
  <si>
    <t>5.1.2.2 Assistive technology and closed functionality</t>
  </si>
  <si>
    <t>5.1.3.1 Auditory output of visual information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</si>
  <si>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</si>
  <si>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</si>
  <si>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</si>
  <si>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</si>
  <si>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Auditory output for non-text content</t>
  </si>
  <si>
    <t>5.1.3.7 Auditory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</si>
  <si>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</si>
  <si>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</si>
  <si>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</si>
  <si>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</si>
  <si>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</si>
  <si>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</si>
  <si>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</si>
  <si>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</si>
  <si>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</si>
  <si>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</si>
  <si>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</si>
  <si>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5.1.6.1 Functionality closed to keyboards</t>
  </si>
  <si>
    <t>5.1.6.2 Input focus</t>
  </si>
  <si>
    <t>5.1.7 Access without speech</t>
  </si>
  <si>
    <t>5.1.8 Identify input purpose (closed functionality)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</si>
  <si>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</si>
  <si>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</si>
  <si>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</si>
  <si>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</si>
  <si>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</si>
  <si>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</si>
  <si>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</si>
  <si>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</si>
  <si>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</si>
  <si>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</si>
  <si>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</si>
  <si>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</si>
  <si>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</si>
  <si>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</si>
  <si>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</si>
  <si>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</si>
  <si>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</si>
  <si>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</si>
  <si>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</si>
  <si>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</si>
  <si>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</si>
  <si>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</si>
  <si>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</si>
  <si>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</si>
  <si>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</si>
  <si>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</si>
  <si>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</si>
  <si>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</si>
  <si>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</si>
  <si>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</si>
  <si>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</si>
  <si>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</si>
  <si>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</si>
  <si>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</si>
  <si>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</si>
  <si>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</si>
  <si>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</si>
  <si>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</si>
  <si>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</si>
  <si>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</si>
  <si>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</si>
  <si>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</si>
  <si>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</si>
  <si>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</si>
  <si>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</si>
  <si>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</si>
  <si>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</si>
  <si>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</si>
  <si>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</si>
  <si>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</si>
  <si>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</si>
  <si>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</si>
  <si>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</si>
  <si>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</si>
  <si>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</si>
  <si>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</si>
  <si>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</si>
  <si>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</si>
  <si>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</si>
  <si>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</si>
  <si>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</si>
  <si>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</si>
  <si>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</si>
  <si>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</si>
  <si>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</si>
  <si>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</si>
  <si>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</si>
  <si>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</si>
  <si>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</si>
  <si>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</si>
  <si>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</si>
  <si>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</si>
  <si>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</si>
  <si>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</si>
  <si>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</si>
  <si>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</si>
  <si>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</si>
  <si>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</si>
  <si>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</si>
  <si>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</si>
  <si>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</si>
  <si>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</si>
  <si>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</si>
  <si>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</si>
  <si>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</si>
  <si>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</si>
  <si>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</si>
  <si>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</si>
  <si>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</si>
  <si>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</si>
  <si>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</si>
  <si>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</si>
  <si>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</si>
  <si>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</si>
  <si>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</si>
  <si>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</si>
  <si>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</si>
  <si>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</si>
  <si>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</si>
  <si>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</si>
  <si>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</si>
  <si>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</si>
  <si>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</si>
  <si>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</si>
  <si>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</si>
  <si>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</si>
  <si>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</si>
  <si>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</si>
  <si>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</si>
  <si>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</si>
  <si>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</si>
  <si>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</si>
  <si>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</si>
  <si>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</si>
  <si>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</si>
  <si>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</si>
  <si>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</si>
  <si>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</si>
  <si>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</si>
  <si>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</si>
  <si>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</si>
  <si>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</si>
  <si>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</si>
  <si>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</si>
  <si>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</si>
  <si>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</si>
  <si>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</si>
  <si>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</si>
  <si>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</si>
  <si>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</si>
  <si>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</si>
  <si>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</si>
  <si>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</si>
  <si>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</si>
  <si>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</si>
  <si>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</si>
  <si>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PDF/UA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</si>
  <si>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</si>
  <si>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</si>
  <si>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</si>
  <si>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Easy-Web-Check</t>
  </si>
  <si>
    <t>axe-core</t>
  </si>
  <si>
    <t>FR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</si>
  <si>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</si>
  <si>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</si>
  <si>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</si>
  <si>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</si>
  <si>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</si>
  <si>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</si>
  <si>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</si>
  <si>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</si>
  <si>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</si>
  <si>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</si>
  <si>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</si>
  <si>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True positive, with correct location information</t>
  </si>
  <si>
    <t>True positive, no or incorrect location information</t>
  </si>
  <si>
    <t>False positive, with 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</si>
  <si>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</si>
  <si>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</si>
  <si>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</si>
  <si>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</si>
  <si>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</si>
  <si>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</si>
  <si>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</si>
  <si>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Ahmet Kalkan. (2026, Juli 7). Eine Vergleichsstudie über Monitoring-Systeme zur Überprüfung von Webseiten auf Barrierefreiheit. Bachelorthesis [Bachelorthesis]. Hochschule der Medien Stuttgart.</t>
  </si>
  <si>
    <t>English titles v4.1.0 as of 2026-06 final draft for vote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</si>
  <si>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</si>
  <si>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</si>
  <si>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</si>
  <si>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</si>
  <si>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</si>
  <si>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</si>
  <si>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</si>
  <si>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manuell</t>
  </si>
  <si>
    <t>nicht abgedeckt</t>
  </si>
  <si>
    <t>6.5.6 Speaker identification with video (sign language) communication</t>
  </si>
  <si>
    <t> </t>
  </si>
  <si>
    <t>Kalkan (2026): R=1; P=1; F1=1</t>
  </si>
  <si>
    <t>A</t>
  </si>
  <si>
    <t>Images Bookmarklet, Siteimprove Accessibility Checker</t>
  </si>
  <si>
    <t>Images Bookmarklet, Siteimprove Accessibility Checker (teilweise geprüft)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</si>
  <si>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</si>
  <si>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</si>
  <si>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</si>
  <si>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</si>
  <si>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</si>
  <si>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</si>
  <si>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</si>
  <si>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</si>
  <si>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Bookmarklet "Inhalte gegliedert", Bookmarklet "Lists", Bookmarklet "Tables", Siteimprove Accessibility Checker, manuell für Formularfelder</t>
  </si>
  <si>
    <t>Bookmarklet "Inhalte gegliedert", Bookmarklet "Lists", Bookmarklet "Tables", Siteimprove Accessibility Checker, manuell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</si>
  <si>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</si>
  <si>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</si>
  <si>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</si>
  <si>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</si>
  <si>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</si>
  <si>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</si>
  <si>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</si>
  <si>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</si>
  <si>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</si>
  <si>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Siteimprove Accessibility Checker, Web Developer, manuell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</si>
  <si>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</si>
  <si>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</si>
  <si>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</si>
  <si>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</si>
  <si>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</si>
  <si>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</si>
  <si>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</si>
  <si>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Siteimprove Accessibility Checker, manuell</t>
  </si>
  <si>
    <t>tab11y, manuell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</si>
  <si>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</si>
  <si>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</si>
  <si>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</si>
  <si>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</si>
  <si>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</si>
  <si>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</si>
  <si>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</si>
  <si>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</si>
  <si>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</si>
  <si>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taba11y, manuell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</si>
  <si>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</si>
  <si>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</si>
  <si>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</si>
  <si>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</si>
  <si>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</si>
  <si>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</si>
  <si>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</si>
  <si>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</si>
  <si>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</si>
  <si>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</si>
  <si>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</si>
  <si>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</si>
  <si>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</si>
  <si>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</si>
  <si>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manuell (nur Vorhandensein)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</si>
  <si>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</si>
  <si>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</si>
  <si>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</si>
  <si>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</si>
  <si>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</si>
  <si>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manuell (teilweise geprüft)</t>
  </si>
  <si>
    <t>"Höchstmögliches Maß an Barrierefreiheit"</t>
  </si>
  <si>
    <t>Sum for (A)</t>
  </si>
  <si>
    <t>Sum for (AA)</t>
  </si>
  <si>
    <t>Sum for (AAA)</t>
  </si>
  <si>
    <t>Sum for (should)</t>
  </si>
  <si>
    <t>Sum for (shall)</t>
  </si>
  <si>
    <t>WAVE</t>
  </si>
  <si>
    <t>miCheck</t>
  </si>
  <si>
    <t>Accessibility Insights</t>
  </si>
  <si>
    <t>Föll (2026):ja</t>
  </si>
  <si>
    <t>False negative</t>
  </si>
  <si>
    <t>Meaning wrt positives</t>
  </si>
  <si>
    <t>Meaning wrt negatives</t>
  </si>
  <si>
    <t>False positive, with no or irrelevant/false location information</t>
  </si>
  <si>
    <t>This scale is understood as interval scale, i.e. arithmetic means can be computed.</t>
  </si>
  <si>
    <t>(True negatives)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</si>
</sst>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indexed="65"/>
      <name val="Calibri"/>
      <family val="2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  <family val="2"/>
    </font>
    <font>
      <sz val="11"/>
      <color rgb="FF9C0006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00000"/>
        <bgColor rgb="FFC00000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5" fillId="0" borderId="0" applyNumberFormat="0" applyFill="0" applyBorder="0"/>
    <xf numFmtId="0" fontId="10" fillId="0" borderId="0"/>
    <xf numFmtId="9" fontId="10" fillId="0" borderId="0" applyFont="0" applyFill="0" applyBorder="0"/>
    <xf numFmtId="0" fontId="19" fillId="7" borderId="0" applyNumberFormat="0" applyBorder="0"/>
  </cellStyleXfs>
  <cellXfs count="63">
    <xf numFmtId="0" fontId="0" fillId="0" borderId="0" xfId="0"/>
    <xf numFmtId="0" fontId="6" fillId="0" borderId="0" xfId="0" applyFont="1"/>
    <xf numFmtId="0" fontId="7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5" fillId="0" borderId="0" xfId="1" applyAlignment="1">
      <alignment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0" fillId="0" borderId="2" xfId="0" applyBorder="1"/>
    <xf numFmtId="0" fontId="5" fillId="0" borderId="0" xfId="1"/>
    <xf numFmtId="0" fontId="13" fillId="0" borderId="2" xfId="0" applyFont="1" applyBorder="1" applyAlignment="1">
      <alignment wrapText="1"/>
    </xf>
    <xf numFmtId="1" fontId="14" fillId="0" borderId="2" xfId="3" applyNumberFormat="1" applyFont="1" applyBorder="1" applyAlignment="1">
      <alignment horizontal="center" textRotation="90" wrapText="1"/>
    </xf>
    <xf numFmtId="1" fontId="14" fillId="0" borderId="3" xfId="3" applyNumberFormat="1" applyFont="1" applyBorder="1" applyAlignment="1">
      <alignment horizontal="center" textRotation="90" wrapText="1"/>
    </xf>
    <xf numFmtId="1" fontId="4" fillId="0" borderId="2" xfId="3" applyNumberFormat="1" applyFont="1" applyFill="1" applyBorder="1" applyAlignment="1">
      <alignment horizontal="center" textRotation="90" wrapText="1"/>
    </xf>
    <xf numFmtId="0" fontId="12" fillId="0" borderId="0" xfId="0" applyFont="1"/>
    <xf numFmtId="0" fontId="4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4" fillId="0" borderId="0" xfId="2" applyFont="1"/>
    <xf numFmtId="0" fontId="10" fillId="0" borderId="0" xfId="2"/>
    <xf numFmtId="0" fontId="14" fillId="3" borderId="1" xfId="0" applyFont="1" applyFill="1" applyBorder="1" applyAlignment="1">
      <alignment horizontal="left"/>
    </xf>
    <xf numFmtId="0" fontId="4" fillId="0" borderId="0" xfId="0" applyFont="1" applyAlignment="1">
      <alignment wrapText="1"/>
    </xf>
    <xf numFmtId="0" fontId="14" fillId="0" borderId="0" xfId="0" applyFont="1" applyAlignment="1">
      <alignment horizontal="left"/>
    </xf>
    <xf numFmtId="0" fontId="15" fillId="4" borderId="1" xfId="0" applyFont="1" applyFill="1" applyBorder="1" applyAlignment="1">
      <alignment horizontal="left"/>
    </xf>
    <xf numFmtId="0" fontId="16" fillId="0" borderId="0" xfId="0" applyFont="1"/>
    <xf numFmtId="0" fontId="17" fillId="0" borderId="0" xfId="0" applyFont="1"/>
    <xf numFmtId="0" fontId="9" fillId="0" borderId="0" xfId="0" applyFont="1"/>
    <xf numFmtId="0" fontId="14" fillId="0" borderId="1" xfId="0" applyFont="1" applyBorder="1" applyAlignment="1">
      <alignment horizontal="left"/>
    </xf>
    <xf numFmtId="0" fontId="16" fillId="0" borderId="0" xfId="2" applyFont="1"/>
    <xf numFmtId="0" fontId="14" fillId="2" borderId="0" xfId="0" applyFont="1" applyFill="1" applyAlignment="1">
      <alignment horizontal="left"/>
    </xf>
    <xf numFmtId="0" fontId="14" fillId="5" borderId="1" xfId="0" applyFont="1" applyFill="1" applyBorder="1" applyAlignment="1">
      <alignment horizontal="left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0" fontId="8" fillId="0" borderId="0" xfId="0" applyFont="1"/>
    <xf numFmtId="0" fontId="14" fillId="2" borderId="1" xfId="0" applyFont="1" applyFill="1" applyBorder="1" applyAlignment="1">
      <alignment horizontal="left"/>
    </xf>
    <xf numFmtId="0" fontId="14" fillId="6" borderId="0" xfId="0" applyFont="1" applyFill="1" applyAlignment="1">
      <alignment horizontal="left"/>
    </xf>
    <xf numFmtId="0" fontId="20" fillId="0" borderId="0" xfId="2" applyFont="1"/>
    <xf numFmtId="0" fontId="12" fillId="0" borderId="1" xfId="0" applyFont="1" applyBorder="1"/>
    <xf numFmtId="0" fontId="9" fillId="0" borderId="1" xfId="0" applyFont="1" applyBorder="1"/>
    <xf numFmtId="0" fontId="11" fillId="0" borderId="1" xfId="0" applyFont="1" applyBorder="1"/>
    <xf numFmtId="0" fontId="11" fillId="0" borderId="0" xfId="0" applyFont="1"/>
    <xf numFmtId="0" fontId="14" fillId="6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/>
    <xf numFmtId="0" fontId="8" fillId="0" borderId="1" xfId="0" applyFont="1" applyBorder="1"/>
    <xf numFmtId="0" fontId="14" fillId="0" borderId="4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9" fillId="0" borderId="3" xfId="0" applyFont="1" applyBorder="1"/>
    <xf numFmtId="0" fontId="18" fillId="0" borderId="2" xfId="0" applyFont="1" applyBorder="1" applyAlignment="1">
      <alignment horizontal="center"/>
    </xf>
    <xf numFmtId="0" fontId="11" fillId="0" borderId="2" xfId="0" applyFont="1" applyBorder="1"/>
    <xf numFmtId="0" fontId="14" fillId="0" borderId="5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1" fontId="3" fillId="0" borderId="2" xfId="3" applyNumberFormat="1" applyFont="1" applyFill="1" applyBorder="1" applyAlignment="1">
      <alignment horizontal="center" textRotation="90" wrapText="1"/>
    </xf>
    <xf numFmtId="0" fontId="2" fillId="0" borderId="0" xfId="0" applyFont="1"/>
    <xf numFmtId="0" fontId="2" fillId="0" borderId="2" xfId="0" applyFont="1" applyBorder="1"/>
    <xf numFmtId="0" fontId="1" fillId="0" borderId="0" xfId="0" applyFont="1"/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13"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89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162</v>
      </c>
    </row>
    <row r="2" spans="1:1" ht="42.75" x14ac:dyDescent="0.45">
      <c r="A2" s="4" t="s">
        <v>163</v>
      </c>
    </row>
    <row r="5" spans="1:1" x14ac:dyDescent="0.45">
      <c r="A5" s="2" t="s">
        <v>164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EL201"/>
  <sheetViews>
    <sheetView zoomScale="145" zoomScaleNormal="145" workbookViewId="0">
      <pane ySplit="1" topLeftCell="A118" activePane="bottomLeft" state="frozen"/>
      <selection pane="bottomLeft"/>
    </sheetView>
  </sheetViews>
  <sheetFormatPr baseColWidth="10" defaultColWidth="11.46484375" defaultRowHeight="14.25" x14ac:dyDescent="0.45"/>
  <cols>
    <col min="1" max="1" width="46.46484375" customWidth="1"/>
    <col min="2" max="2" width="6" style="20" customWidth="1"/>
    <col min="3" max="3" width="7.86328125" customWidth="1"/>
    <col min="4" max="4" width="7.86328125" style="20" customWidth="1"/>
    <col min="5" max="6" width="12.46484375" style="7" customWidth="1"/>
    <col min="7" max="7" width="11.265625" style="7" customWidth="1"/>
    <col min="8" max="12" width="11.265625" customWidth="1"/>
  </cols>
  <sheetData>
    <row r="1" spans="1:142" s="11" customFormat="1" ht="185.65" customHeight="1" x14ac:dyDescent="0.45">
      <c r="A1" s="13" t="s">
        <v>190</v>
      </c>
      <c r="B1" s="3" t="s">
        <v>191</v>
      </c>
      <c r="C1" s="14" t="s">
        <v>192</v>
      </c>
      <c r="D1" s="15" t="s">
        <v>193</v>
      </c>
      <c r="E1" s="16" t="s">
        <v>194</v>
      </c>
      <c r="F1" s="16" t="s">
        <v>195</v>
      </c>
      <c r="G1" s="16" t="s">
        <v>196</v>
      </c>
      <c r="H1" s="16" t="s">
        <v>166</v>
      </c>
      <c r="I1" s="16" t="s">
        <v>165</v>
      </c>
      <c r="J1" s="16" t="s">
        <v>197</v>
      </c>
      <c r="K1" s="59" t="s">
        <v>272</v>
      </c>
      <c r="L1" s="59" t="s">
        <v>273</v>
      </c>
      <c r="M1" s="59" t="s">
        <v>274</v>
      </c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59"/>
      <c r="CA1" s="59"/>
      <c r="CB1" s="59"/>
      <c r="CC1" s="59"/>
      <c r="CD1" s="59"/>
      <c r="CE1" s="59"/>
      <c r="CF1" s="59"/>
      <c r="CG1" s="59"/>
      <c r="CH1" s="59"/>
      <c r="CI1" s="59"/>
      <c r="CJ1" s="59"/>
      <c r="CK1" s="59"/>
      <c r="CL1" s="59"/>
      <c r="CM1" s="59"/>
      <c r="CN1" s="59"/>
      <c r="CO1" s="59"/>
      <c r="CP1" s="59"/>
      <c r="CQ1" s="59"/>
      <c r="CR1" s="59"/>
      <c r="CS1" s="59"/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59"/>
      <c r="DM1" s="59"/>
      <c r="DN1" s="59"/>
      <c r="DO1" s="59"/>
      <c r="DP1" s="59"/>
      <c r="DQ1" s="59"/>
      <c r="DR1" s="59"/>
      <c r="DS1" s="59"/>
      <c r="DT1" s="59"/>
      <c r="DU1" s="59"/>
      <c r="DV1" s="59"/>
      <c r="DW1" s="59"/>
      <c r="DX1" s="59"/>
      <c r="DY1" s="59"/>
      <c r="DZ1" s="59"/>
      <c r="EA1" s="59"/>
      <c r="EB1" s="59"/>
      <c r="EC1" s="59"/>
      <c r="ED1" s="59"/>
      <c r="EE1" s="59"/>
      <c r="EF1" s="59"/>
      <c r="EG1" s="59"/>
      <c r="EH1" s="59"/>
      <c r="EI1" s="59"/>
      <c r="EJ1" s="59"/>
      <c r="EK1" s="59"/>
      <c r="EL1" s="59"/>
    </row>
    <row r="2" spans="1:142" x14ac:dyDescent="0.45">
      <c r="A2" s="17" t="s">
        <v>0</v>
      </c>
      <c r="B2" s="18" t="s">
        <v>1</v>
      </c>
    </row>
    <row r="3" spans="1:142" x14ac:dyDescent="0.45">
      <c r="A3" s="17" t="s">
        <v>2</v>
      </c>
      <c r="B3" s="18" t="s">
        <v>1</v>
      </c>
    </row>
    <row r="4" spans="1:142" x14ac:dyDescent="0.45">
      <c r="A4" s="17" t="s">
        <v>3</v>
      </c>
      <c r="B4" s="18" t="s">
        <v>1</v>
      </c>
    </row>
    <row r="5" spans="1:142" x14ac:dyDescent="0.45">
      <c r="A5" s="17" t="s">
        <v>4</v>
      </c>
      <c r="B5" s="18" t="s">
        <v>1</v>
      </c>
    </row>
    <row r="6" spans="1:142" x14ac:dyDescent="0.45">
      <c r="A6" s="17" t="s">
        <v>5</v>
      </c>
      <c r="B6" s="18" t="s">
        <v>1</v>
      </c>
    </row>
    <row r="7" spans="1:142" x14ac:dyDescent="0.45">
      <c r="A7" s="17" t="s">
        <v>6</v>
      </c>
      <c r="B7" s="18" t="s">
        <v>1</v>
      </c>
    </row>
    <row r="8" spans="1:142" x14ac:dyDescent="0.45">
      <c r="A8" s="17" t="s">
        <v>7</v>
      </c>
      <c r="B8" s="18" t="s">
        <v>1</v>
      </c>
    </row>
    <row r="9" spans="1:142" x14ac:dyDescent="0.45">
      <c r="A9" s="17" t="s">
        <v>8</v>
      </c>
      <c r="B9" s="18" t="s">
        <v>1</v>
      </c>
    </row>
    <row r="10" spans="1:142" x14ac:dyDescent="0.45">
      <c r="A10" s="17" t="s">
        <v>9</v>
      </c>
      <c r="B10" s="18" t="s">
        <v>1</v>
      </c>
    </row>
    <row r="11" spans="1:142" x14ac:dyDescent="0.45">
      <c r="A11" s="17" t="s">
        <v>10</v>
      </c>
      <c r="B11" s="18" t="s">
        <v>1</v>
      </c>
    </row>
    <row r="12" spans="1:142" x14ac:dyDescent="0.45">
      <c r="A12" s="17" t="s">
        <v>11</v>
      </c>
      <c r="B12" s="18" t="s">
        <v>1</v>
      </c>
    </row>
    <row r="13" spans="1:142" x14ac:dyDescent="0.45">
      <c r="A13" s="17" t="s">
        <v>12</v>
      </c>
      <c r="B13" s="18" t="s">
        <v>1</v>
      </c>
    </row>
    <row r="14" spans="1:142" x14ac:dyDescent="0.45">
      <c r="A14" s="17" t="s">
        <v>13</v>
      </c>
      <c r="B14" s="18" t="s">
        <v>1</v>
      </c>
    </row>
    <row r="15" spans="1:142" x14ac:dyDescent="0.45">
      <c r="A15" s="17" t="s">
        <v>14</v>
      </c>
      <c r="B15" s="18" t="s">
        <v>1</v>
      </c>
    </row>
    <row r="16" spans="1:142" x14ac:dyDescent="0.45">
      <c r="A16" s="17" t="s">
        <v>15</v>
      </c>
      <c r="B16" s="18" t="s">
        <v>1</v>
      </c>
    </row>
    <row r="17" spans="1:5" x14ac:dyDescent="0.45">
      <c r="A17" s="21" t="s">
        <v>16</v>
      </c>
      <c r="B17" s="18" t="s">
        <v>1</v>
      </c>
    </row>
    <row r="18" spans="1:5" x14ac:dyDescent="0.45">
      <c r="A18" s="22" t="s">
        <v>17</v>
      </c>
      <c r="B18" s="18" t="s">
        <v>1</v>
      </c>
    </row>
    <row r="19" spans="1:5" x14ac:dyDescent="0.45">
      <c r="A19" s="22" t="s">
        <v>18</v>
      </c>
      <c r="B19" s="18" t="s">
        <v>1</v>
      </c>
    </row>
    <row r="20" spans="1:5" x14ac:dyDescent="0.45">
      <c r="A20" s="22" t="s">
        <v>19</v>
      </c>
      <c r="B20" s="18" t="s">
        <v>1</v>
      </c>
    </row>
    <row r="21" spans="1:5" x14ac:dyDescent="0.45">
      <c r="A21" s="22" t="s">
        <v>20</v>
      </c>
      <c r="B21" s="18" t="s">
        <v>1</v>
      </c>
    </row>
    <row r="22" spans="1:5" x14ac:dyDescent="0.45">
      <c r="A22" s="22" t="s">
        <v>21</v>
      </c>
      <c r="B22" s="18" t="s">
        <v>1</v>
      </c>
    </row>
    <row r="23" spans="1:5" x14ac:dyDescent="0.45">
      <c r="A23" s="22" t="s">
        <v>22</v>
      </c>
      <c r="B23" s="18" t="s">
        <v>1</v>
      </c>
    </row>
    <row r="24" spans="1:5" x14ac:dyDescent="0.45">
      <c r="A24" s="22" t="s">
        <v>23</v>
      </c>
      <c r="B24" s="18" t="s">
        <v>1</v>
      </c>
    </row>
    <row r="25" spans="1:5" x14ac:dyDescent="0.45">
      <c r="A25" s="17" t="s">
        <v>24</v>
      </c>
      <c r="B25" s="18" t="s">
        <v>1</v>
      </c>
    </row>
    <row r="26" spans="1:5" x14ac:dyDescent="0.45">
      <c r="A26" s="17" t="s">
        <v>25</v>
      </c>
      <c r="B26" s="20" t="s">
        <v>1</v>
      </c>
      <c r="D26" s="23" t="s">
        <v>198</v>
      </c>
      <c r="E26" s="24"/>
    </row>
    <row r="27" spans="1:5" x14ac:dyDescent="0.45">
      <c r="A27" s="17" t="s">
        <v>26</v>
      </c>
      <c r="B27" s="20" t="s">
        <v>1</v>
      </c>
      <c r="C27" s="25" t="s">
        <v>198</v>
      </c>
      <c r="D27" s="23" t="s">
        <v>198</v>
      </c>
    </row>
    <row r="28" spans="1:5" x14ac:dyDescent="0.45">
      <c r="A28" s="17" t="s">
        <v>27</v>
      </c>
      <c r="B28" s="20" t="s">
        <v>1</v>
      </c>
      <c r="D28" s="26" t="s">
        <v>199</v>
      </c>
    </row>
    <row r="29" spans="1:5" x14ac:dyDescent="0.45">
      <c r="A29" s="17" t="s">
        <v>28</v>
      </c>
      <c r="B29" s="20" t="s">
        <v>1</v>
      </c>
    </row>
    <row r="30" spans="1:5" x14ac:dyDescent="0.45">
      <c r="A30" s="17" t="s">
        <v>29</v>
      </c>
      <c r="B30" s="20" t="s">
        <v>1</v>
      </c>
    </row>
    <row r="31" spans="1:5" x14ac:dyDescent="0.45">
      <c r="A31" s="17" t="s">
        <v>30</v>
      </c>
      <c r="B31" s="20" t="s">
        <v>1</v>
      </c>
    </row>
    <row r="32" spans="1:5" x14ac:dyDescent="0.45">
      <c r="A32" s="17" t="s">
        <v>31</v>
      </c>
      <c r="B32" s="20" t="s">
        <v>1</v>
      </c>
    </row>
    <row r="33" spans="1:4" x14ac:dyDescent="0.45">
      <c r="A33" s="17" t="s">
        <v>32</v>
      </c>
      <c r="B33" s="20" t="s">
        <v>1</v>
      </c>
    </row>
    <row r="34" spans="1:4" x14ac:dyDescent="0.45">
      <c r="A34" s="17" t="s">
        <v>33</v>
      </c>
      <c r="B34" s="20" t="s">
        <v>1</v>
      </c>
      <c r="D34" s="26" t="s">
        <v>199</v>
      </c>
    </row>
    <row r="35" spans="1:4" x14ac:dyDescent="0.45">
      <c r="A35" s="17" t="s">
        <v>34</v>
      </c>
      <c r="B35" s="20" t="s">
        <v>1</v>
      </c>
      <c r="D35" s="26" t="s">
        <v>199</v>
      </c>
    </row>
    <row r="36" spans="1:4" x14ac:dyDescent="0.45">
      <c r="A36" s="17" t="s">
        <v>35</v>
      </c>
      <c r="B36" s="20" t="s">
        <v>1</v>
      </c>
      <c r="D36" s="26" t="s">
        <v>199</v>
      </c>
    </row>
    <row r="37" spans="1:4" x14ac:dyDescent="0.45">
      <c r="A37" s="17" t="s">
        <v>36</v>
      </c>
      <c r="B37" s="20" t="s">
        <v>1</v>
      </c>
      <c r="D37" s="26" t="s">
        <v>199</v>
      </c>
    </row>
    <row r="38" spans="1:4" x14ac:dyDescent="0.45">
      <c r="A38" s="17" t="s">
        <v>37</v>
      </c>
      <c r="B38" s="20" t="s">
        <v>1</v>
      </c>
      <c r="D38" s="26" t="s">
        <v>199</v>
      </c>
    </row>
    <row r="39" spans="1:4" x14ac:dyDescent="0.45">
      <c r="A39" s="27" t="s">
        <v>38</v>
      </c>
      <c r="B39" s="20" t="s">
        <v>1</v>
      </c>
    </row>
    <row r="40" spans="1:4" x14ac:dyDescent="0.45">
      <c r="A40" s="27" t="s">
        <v>39</v>
      </c>
      <c r="B40" s="20" t="s">
        <v>1</v>
      </c>
    </row>
    <row r="41" spans="1:4" x14ac:dyDescent="0.45">
      <c r="A41" s="27" t="s">
        <v>40</v>
      </c>
      <c r="B41" s="20" t="s">
        <v>1</v>
      </c>
    </row>
    <row r="42" spans="1:4" x14ac:dyDescent="0.45">
      <c r="A42" s="27" t="s">
        <v>41</v>
      </c>
      <c r="B42" s="20" t="s">
        <v>1</v>
      </c>
    </row>
    <row r="43" spans="1:4" x14ac:dyDescent="0.45">
      <c r="A43" s="27" t="s">
        <v>42</v>
      </c>
      <c r="B43" s="20" t="s">
        <v>1</v>
      </c>
    </row>
    <row r="44" spans="1:4" x14ac:dyDescent="0.45">
      <c r="A44" s="27" t="s">
        <v>43</v>
      </c>
      <c r="B44" s="20" t="s">
        <v>1</v>
      </c>
    </row>
    <row r="45" spans="1:4" x14ac:dyDescent="0.45">
      <c r="A45" s="27" t="s">
        <v>44</v>
      </c>
      <c r="B45" s="20" t="s">
        <v>1</v>
      </c>
    </row>
    <row r="46" spans="1:4" x14ac:dyDescent="0.45">
      <c r="A46" s="27" t="s">
        <v>45</v>
      </c>
      <c r="B46" s="20" t="s">
        <v>1</v>
      </c>
    </row>
    <row r="47" spans="1:4" x14ac:dyDescent="0.45">
      <c r="A47" s="27" t="s">
        <v>46</v>
      </c>
      <c r="B47" s="20" t="s">
        <v>1</v>
      </c>
    </row>
    <row r="48" spans="1:4" x14ac:dyDescent="0.45">
      <c r="A48" s="17" t="s">
        <v>47</v>
      </c>
      <c r="B48" s="20" t="s">
        <v>1</v>
      </c>
      <c r="D48" s="26" t="s">
        <v>199</v>
      </c>
    </row>
    <row r="49" spans="1:4" x14ac:dyDescent="0.45">
      <c r="A49" s="28" t="s">
        <v>48</v>
      </c>
      <c r="B49" s="18" t="s">
        <v>140</v>
      </c>
    </row>
    <row r="50" spans="1:4" x14ac:dyDescent="0.45">
      <c r="A50" s="28" t="s">
        <v>49</v>
      </c>
      <c r="B50" s="18" t="s">
        <v>140</v>
      </c>
    </row>
    <row r="51" spans="1:4" x14ac:dyDescent="0.45">
      <c r="A51" s="17" t="s">
        <v>50</v>
      </c>
      <c r="B51" s="20" t="s">
        <v>1</v>
      </c>
      <c r="D51" s="26" t="s">
        <v>199</v>
      </c>
    </row>
    <row r="52" spans="1:4" x14ac:dyDescent="0.45">
      <c r="A52" s="17" t="s">
        <v>51</v>
      </c>
      <c r="B52" s="20" t="s">
        <v>1</v>
      </c>
      <c r="D52" s="26" t="s">
        <v>199</v>
      </c>
    </row>
    <row r="53" spans="1:4" x14ac:dyDescent="0.45">
      <c r="A53" s="27" t="s">
        <v>52</v>
      </c>
      <c r="B53" s="18" t="s">
        <v>1</v>
      </c>
    </row>
    <row r="54" spans="1:4" x14ac:dyDescent="0.45">
      <c r="A54" s="21" t="s">
        <v>53</v>
      </c>
      <c r="B54" s="20" t="s">
        <v>1</v>
      </c>
      <c r="D54" s="26" t="s">
        <v>199</v>
      </c>
    </row>
    <row r="55" spans="1:4" x14ac:dyDescent="0.45">
      <c r="A55" s="17" t="s">
        <v>54</v>
      </c>
      <c r="B55" s="20" t="s">
        <v>1</v>
      </c>
      <c r="D55" s="26" t="s">
        <v>199</v>
      </c>
    </row>
    <row r="56" spans="1:4" x14ac:dyDescent="0.45">
      <c r="A56" s="17" t="s">
        <v>55</v>
      </c>
      <c r="B56" s="20" t="s">
        <v>1</v>
      </c>
      <c r="D56" s="26" t="s">
        <v>199</v>
      </c>
    </row>
    <row r="57" spans="1:4" x14ac:dyDescent="0.45">
      <c r="A57" s="27" t="s">
        <v>56</v>
      </c>
      <c r="B57" s="20" t="s">
        <v>1</v>
      </c>
    </row>
    <row r="58" spans="1:4" x14ac:dyDescent="0.45">
      <c r="A58" s="17" t="s">
        <v>57</v>
      </c>
      <c r="B58" s="20" t="s">
        <v>1</v>
      </c>
    </row>
    <row r="59" spans="1:4" x14ac:dyDescent="0.45">
      <c r="A59" s="27" t="s">
        <v>58</v>
      </c>
      <c r="B59" s="20" t="s">
        <v>1</v>
      </c>
    </row>
    <row r="60" spans="1:4" x14ac:dyDescent="0.45">
      <c r="A60" s="17" t="s">
        <v>59</v>
      </c>
      <c r="B60" s="20" t="s">
        <v>1</v>
      </c>
      <c r="D60" s="26" t="s">
        <v>199</v>
      </c>
    </row>
    <row r="61" spans="1:4" x14ac:dyDescent="0.45">
      <c r="A61" s="27" t="s">
        <v>60</v>
      </c>
      <c r="B61" s="20" t="s">
        <v>1</v>
      </c>
    </row>
    <row r="62" spans="1:4" x14ac:dyDescent="0.45">
      <c r="A62" s="27" t="s">
        <v>61</v>
      </c>
      <c r="B62" s="20" t="s">
        <v>1</v>
      </c>
    </row>
    <row r="63" spans="1:4" x14ac:dyDescent="0.45">
      <c r="A63" s="27" t="s">
        <v>62</v>
      </c>
      <c r="B63" s="20" t="s">
        <v>1</v>
      </c>
    </row>
    <row r="64" spans="1:4" x14ac:dyDescent="0.45">
      <c r="A64" s="27" t="s">
        <v>63</v>
      </c>
      <c r="B64" s="20" t="s">
        <v>1</v>
      </c>
    </row>
    <row r="65" spans="1:5" x14ac:dyDescent="0.45">
      <c r="A65" s="27" t="s">
        <v>64</v>
      </c>
      <c r="B65" s="20" t="s">
        <v>1</v>
      </c>
    </row>
    <row r="66" spans="1:5" x14ac:dyDescent="0.45">
      <c r="A66" s="17" t="s">
        <v>65</v>
      </c>
      <c r="B66" s="20" t="s">
        <v>1</v>
      </c>
      <c r="D66" s="26" t="s">
        <v>199</v>
      </c>
    </row>
    <row r="67" spans="1:5" x14ac:dyDescent="0.45">
      <c r="A67" s="22" t="s">
        <v>66</v>
      </c>
      <c r="B67" s="20" t="s">
        <v>1</v>
      </c>
      <c r="D67" s="26" t="s">
        <v>199</v>
      </c>
    </row>
    <row r="68" spans="1:5" x14ac:dyDescent="0.45">
      <c r="A68" s="17" t="s">
        <v>67</v>
      </c>
      <c r="B68" s="20" t="s">
        <v>1</v>
      </c>
      <c r="D68" s="26" t="s">
        <v>199</v>
      </c>
    </row>
    <row r="69" spans="1:5" x14ac:dyDescent="0.45">
      <c r="A69" s="17" t="s">
        <v>68</v>
      </c>
      <c r="B69" s="20" t="s">
        <v>1</v>
      </c>
      <c r="D69" s="26" t="s">
        <v>199</v>
      </c>
    </row>
    <row r="70" spans="1:5" x14ac:dyDescent="0.45">
      <c r="A70" s="17" t="s">
        <v>69</v>
      </c>
      <c r="B70" s="20" t="s">
        <v>1</v>
      </c>
      <c r="D70" s="26" t="s">
        <v>199</v>
      </c>
    </row>
    <row r="71" spans="1:5" x14ac:dyDescent="0.45">
      <c r="A71" s="17" t="s">
        <v>70</v>
      </c>
      <c r="B71" s="20" t="s">
        <v>1</v>
      </c>
      <c r="D71" s="26" t="s">
        <v>199</v>
      </c>
    </row>
    <row r="72" spans="1:5" x14ac:dyDescent="0.45">
      <c r="A72" s="22" t="s">
        <v>200</v>
      </c>
      <c r="B72" s="20" t="s">
        <v>1</v>
      </c>
      <c r="D72" s="26" t="s">
        <v>199</v>
      </c>
    </row>
    <row r="73" spans="1:5" ht="15.75" customHeight="1" x14ac:dyDescent="0.45">
      <c r="A73" s="28" t="s">
        <v>71</v>
      </c>
      <c r="B73" s="20" t="s">
        <v>140</v>
      </c>
      <c r="D73" s="30" t="s">
        <v>201</v>
      </c>
    </row>
    <row r="74" spans="1:5" x14ac:dyDescent="0.45">
      <c r="A74" s="31" t="s">
        <v>72</v>
      </c>
      <c r="B74" s="20" t="s">
        <v>1</v>
      </c>
    </row>
    <row r="75" spans="1:5" x14ac:dyDescent="0.45">
      <c r="A75" s="31" t="s">
        <v>73</v>
      </c>
      <c r="B75" s="20" t="s">
        <v>1</v>
      </c>
    </row>
    <row r="76" spans="1:5" ht="28.5" x14ac:dyDescent="0.45">
      <c r="A76" s="17" t="s">
        <v>74</v>
      </c>
      <c r="B76" s="20" t="s">
        <v>1</v>
      </c>
      <c r="C76" s="25" t="s">
        <v>198</v>
      </c>
      <c r="D76" s="23" t="s">
        <v>198</v>
      </c>
      <c r="E76" s="24" t="s">
        <v>202</v>
      </c>
    </row>
    <row r="77" spans="1:5" x14ac:dyDescent="0.45">
      <c r="A77" s="17" t="s">
        <v>75</v>
      </c>
      <c r="B77" s="20" t="s">
        <v>1</v>
      </c>
      <c r="C77" s="25" t="s">
        <v>198</v>
      </c>
      <c r="D77" s="23" t="s">
        <v>198</v>
      </c>
    </row>
    <row r="78" spans="1:5" x14ac:dyDescent="0.45">
      <c r="A78" s="17" t="s">
        <v>76</v>
      </c>
      <c r="B78" s="20" t="s">
        <v>1</v>
      </c>
      <c r="C78" s="25"/>
      <c r="D78" s="26" t="s">
        <v>199</v>
      </c>
    </row>
    <row r="79" spans="1:5" x14ac:dyDescent="0.45">
      <c r="A79" s="17" t="s">
        <v>77</v>
      </c>
      <c r="B79" s="20" t="s">
        <v>1</v>
      </c>
      <c r="C79" s="25" t="s">
        <v>198</v>
      </c>
      <c r="D79" s="23" t="s">
        <v>198</v>
      </c>
    </row>
    <row r="80" spans="1:5" x14ac:dyDescent="0.45">
      <c r="A80" s="17" t="s">
        <v>78</v>
      </c>
      <c r="B80" s="20" t="s">
        <v>1</v>
      </c>
      <c r="C80" s="25" t="s">
        <v>198</v>
      </c>
      <c r="D80" s="23" t="s">
        <v>198</v>
      </c>
    </row>
    <row r="81" spans="1:13" x14ac:dyDescent="0.45">
      <c r="A81" s="17" t="s">
        <v>79</v>
      </c>
      <c r="B81" s="20" t="s">
        <v>1</v>
      </c>
      <c r="C81" s="25" t="s">
        <v>198</v>
      </c>
      <c r="D81" s="23" t="s">
        <v>198</v>
      </c>
    </row>
    <row r="82" spans="1:13" x14ac:dyDescent="0.45">
      <c r="A82" s="17" t="s">
        <v>80</v>
      </c>
      <c r="B82" s="20" t="s">
        <v>1</v>
      </c>
      <c r="C82" s="25" t="s">
        <v>198</v>
      </c>
      <c r="D82" s="23" t="s">
        <v>198</v>
      </c>
    </row>
    <row r="83" spans="1:13" x14ac:dyDescent="0.45">
      <c r="A83" s="17" t="s">
        <v>81</v>
      </c>
      <c r="B83" s="20" t="s">
        <v>1</v>
      </c>
      <c r="C83" s="25"/>
      <c r="D83" s="26" t="s">
        <v>199</v>
      </c>
    </row>
    <row r="84" spans="1:13" x14ac:dyDescent="0.45">
      <c r="A84" s="17" t="s">
        <v>82</v>
      </c>
      <c r="B84" s="20" t="s">
        <v>1</v>
      </c>
      <c r="C84" s="25" t="s">
        <v>198</v>
      </c>
      <c r="D84" s="23" t="s">
        <v>198</v>
      </c>
    </row>
    <row r="85" spans="1:13" ht="57" x14ac:dyDescent="0.45">
      <c r="A85" s="22" t="s">
        <v>83</v>
      </c>
      <c r="B85" s="20" t="s">
        <v>203</v>
      </c>
      <c r="C85" s="32" t="s">
        <v>204</v>
      </c>
      <c r="D85" s="33" t="s">
        <v>205</v>
      </c>
      <c r="E85" s="24" t="s">
        <v>206</v>
      </c>
      <c r="F85" s="24" t="s">
        <v>206</v>
      </c>
      <c r="G85" s="24" t="s">
        <v>206</v>
      </c>
      <c r="H85" s="9" t="s">
        <v>176</v>
      </c>
      <c r="I85" s="6" t="s">
        <v>167</v>
      </c>
      <c r="J85" s="6" t="s">
        <v>168</v>
      </c>
      <c r="K85" t="s">
        <v>275</v>
      </c>
      <c r="L85" t="s">
        <v>275</v>
      </c>
      <c r="M85" t="s">
        <v>275</v>
      </c>
    </row>
    <row r="86" spans="1:13" ht="42.75" x14ac:dyDescent="0.45">
      <c r="A86" s="22" t="s">
        <v>84</v>
      </c>
      <c r="B86" s="20" t="s">
        <v>203</v>
      </c>
      <c r="C86" s="25" t="s">
        <v>198</v>
      </c>
      <c r="D86" s="23" t="s">
        <v>198</v>
      </c>
      <c r="G86" s="24" t="s">
        <v>202</v>
      </c>
      <c r="H86" s="8" t="s">
        <v>177</v>
      </c>
    </row>
    <row r="87" spans="1:13" x14ac:dyDescent="0.45">
      <c r="A87" s="22" t="s">
        <v>85</v>
      </c>
      <c r="B87" s="20" t="s">
        <v>203</v>
      </c>
      <c r="C87" s="25" t="s">
        <v>198</v>
      </c>
      <c r="D87" s="23" t="s">
        <v>198</v>
      </c>
      <c r="K87" t="s">
        <v>275</v>
      </c>
    </row>
    <row r="88" spans="1:13" x14ac:dyDescent="0.45">
      <c r="A88" s="22" t="s">
        <v>86</v>
      </c>
      <c r="B88" s="20" t="s">
        <v>203</v>
      </c>
      <c r="C88" s="25" t="s">
        <v>198</v>
      </c>
      <c r="D88" s="23" t="s">
        <v>198</v>
      </c>
    </row>
    <row r="89" spans="1:13" x14ac:dyDescent="0.45">
      <c r="A89" s="22" t="s">
        <v>87</v>
      </c>
      <c r="B89" s="18" t="s">
        <v>207</v>
      </c>
      <c r="C89" s="25" t="s">
        <v>199</v>
      </c>
      <c r="D89" s="23" t="s">
        <v>198</v>
      </c>
    </row>
    <row r="90" spans="1:13" x14ac:dyDescent="0.45">
      <c r="A90" s="22" t="s">
        <v>88</v>
      </c>
      <c r="B90" s="20" t="s">
        <v>207</v>
      </c>
      <c r="C90" s="25" t="s">
        <v>198</v>
      </c>
      <c r="D90" s="23" t="s">
        <v>198</v>
      </c>
    </row>
    <row r="91" spans="1:13" s="29" customFormat="1" x14ac:dyDescent="0.45">
      <c r="A91" s="34" t="s">
        <v>208</v>
      </c>
      <c r="B91" s="20" t="s">
        <v>209</v>
      </c>
      <c r="C91" s="35" t="s">
        <v>201</v>
      </c>
      <c r="D91" s="23" t="s">
        <v>198</v>
      </c>
      <c r="E91" s="8"/>
      <c r="F91" s="8"/>
      <c r="G91" s="8"/>
    </row>
    <row r="92" spans="1:13" s="29" customFormat="1" x14ac:dyDescent="0.45">
      <c r="A92" s="34" t="s">
        <v>210</v>
      </c>
      <c r="B92" s="20" t="s">
        <v>209</v>
      </c>
      <c r="C92" s="35" t="s">
        <v>201</v>
      </c>
      <c r="D92" s="23" t="s">
        <v>198</v>
      </c>
      <c r="E92" s="8"/>
      <c r="F92" s="8"/>
      <c r="G92" s="8"/>
    </row>
    <row r="93" spans="1:13" s="29" customFormat="1" x14ac:dyDescent="0.45">
      <c r="A93" s="36" t="s">
        <v>211</v>
      </c>
      <c r="B93" s="20" t="s">
        <v>209</v>
      </c>
      <c r="C93" s="35" t="s">
        <v>201</v>
      </c>
      <c r="D93" s="23" t="s">
        <v>198</v>
      </c>
      <c r="E93" s="8"/>
      <c r="F93" s="8"/>
      <c r="G93" s="8"/>
    </row>
    <row r="94" spans="1:13" s="29" customFormat="1" x14ac:dyDescent="0.45">
      <c r="A94" s="36" t="s">
        <v>212</v>
      </c>
      <c r="B94" s="20" t="s">
        <v>209</v>
      </c>
      <c r="C94" s="35" t="s">
        <v>201</v>
      </c>
      <c r="D94" s="33" t="s">
        <v>213</v>
      </c>
      <c r="E94" s="8"/>
      <c r="F94" s="8"/>
      <c r="G94" s="8"/>
    </row>
    <row r="95" spans="1:13" ht="71.25" x14ac:dyDescent="0.45">
      <c r="A95" s="22" t="s">
        <v>89</v>
      </c>
      <c r="B95" s="20" t="s">
        <v>203</v>
      </c>
      <c r="C95" s="32" t="s">
        <v>214</v>
      </c>
      <c r="D95" s="33" t="s">
        <v>215</v>
      </c>
      <c r="E95" s="24" t="s">
        <v>216</v>
      </c>
      <c r="F95" s="24" t="s">
        <v>216</v>
      </c>
      <c r="G95" s="24" t="s">
        <v>217</v>
      </c>
      <c r="J95" s="9" t="s">
        <v>169</v>
      </c>
      <c r="K95" t="s">
        <v>275</v>
      </c>
      <c r="L95" t="s">
        <v>275</v>
      </c>
      <c r="M95" t="s">
        <v>275</v>
      </c>
    </row>
    <row r="96" spans="1:13" x14ac:dyDescent="0.45">
      <c r="A96" s="22" t="s">
        <v>90</v>
      </c>
      <c r="B96" s="20" t="s">
        <v>203</v>
      </c>
      <c r="C96" s="25"/>
      <c r="D96" s="23" t="s">
        <v>198</v>
      </c>
      <c r="J96" s="8"/>
      <c r="K96" t="s">
        <v>275</v>
      </c>
    </row>
    <row r="97" spans="1:13" ht="28.5" x14ac:dyDescent="0.45">
      <c r="A97" s="22" t="s">
        <v>91</v>
      </c>
      <c r="B97" s="20" t="s">
        <v>203</v>
      </c>
      <c r="C97" s="25" t="s">
        <v>198</v>
      </c>
      <c r="D97" s="23" t="s">
        <v>198</v>
      </c>
      <c r="J97" s="6" t="s">
        <v>170</v>
      </c>
    </row>
    <row r="98" spans="1:13" x14ac:dyDescent="0.45">
      <c r="A98" s="22" t="s">
        <v>92</v>
      </c>
      <c r="B98" s="20" t="s">
        <v>207</v>
      </c>
      <c r="C98" s="25" t="s">
        <v>198</v>
      </c>
      <c r="D98" s="23" t="s">
        <v>198</v>
      </c>
    </row>
    <row r="99" spans="1:13" x14ac:dyDescent="0.45">
      <c r="A99" s="22" t="s">
        <v>93</v>
      </c>
      <c r="B99" s="20" t="s">
        <v>207</v>
      </c>
      <c r="C99" s="32" t="s">
        <v>213</v>
      </c>
      <c r="D99" s="33" t="s">
        <v>213</v>
      </c>
      <c r="M99" t="s">
        <v>275</v>
      </c>
    </row>
    <row r="100" spans="1:13" s="29" customFormat="1" x14ac:dyDescent="0.45">
      <c r="A100" s="36" t="s">
        <v>218</v>
      </c>
      <c r="B100" s="20" t="s">
        <v>209</v>
      </c>
      <c r="C100" s="32" t="s">
        <v>201</v>
      </c>
      <c r="D100" s="33" t="s">
        <v>219</v>
      </c>
      <c r="E100" s="8"/>
      <c r="F100" s="8"/>
      <c r="G100" s="8"/>
    </row>
    <row r="101" spans="1:13" ht="42.75" x14ac:dyDescent="0.45">
      <c r="A101" s="22" t="s">
        <v>94</v>
      </c>
      <c r="B101" s="20" t="s">
        <v>203</v>
      </c>
      <c r="C101" s="32" t="s">
        <v>220</v>
      </c>
      <c r="D101" s="33" t="s">
        <v>220</v>
      </c>
      <c r="E101" s="24" t="s">
        <v>221</v>
      </c>
      <c r="M101" t="s">
        <v>275</v>
      </c>
    </row>
    <row r="102" spans="1:13" ht="57" x14ac:dyDescent="0.45">
      <c r="A102" s="22" t="s">
        <v>95</v>
      </c>
      <c r="B102" s="20" t="s">
        <v>203</v>
      </c>
      <c r="C102" s="25" t="s">
        <v>198</v>
      </c>
      <c r="D102" s="23" t="s">
        <v>198</v>
      </c>
      <c r="E102" s="24" t="s">
        <v>202</v>
      </c>
      <c r="G102" s="24" t="s">
        <v>206</v>
      </c>
      <c r="K102" t="s">
        <v>275</v>
      </c>
      <c r="L102" t="s">
        <v>275</v>
      </c>
    </row>
    <row r="103" spans="1:13" ht="57" x14ac:dyDescent="0.45">
      <c r="A103" s="22" t="s">
        <v>96</v>
      </c>
      <c r="B103" s="20" t="s">
        <v>207</v>
      </c>
      <c r="C103" s="32" t="s">
        <v>222</v>
      </c>
      <c r="D103" s="33" t="s">
        <v>222</v>
      </c>
      <c r="E103" s="24" t="s">
        <v>223</v>
      </c>
      <c r="F103" s="24" t="s">
        <v>224</v>
      </c>
      <c r="G103" s="24" t="s">
        <v>224</v>
      </c>
      <c r="K103" t="s">
        <v>275</v>
      </c>
      <c r="L103" t="s">
        <v>275</v>
      </c>
      <c r="M103" t="s">
        <v>275</v>
      </c>
    </row>
    <row r="104" spans="1:13" ht="57" x14ac:dyDescent="0.45">
      <c r="A104" s="22" t="s">
        <v>97</v>
      </c>
      <c r="B104" s="20" t="s">
        <v>207</v>
      </c>
      <c r="C104" s="32" t="s">
        <v>225</v>
      </c>
      <c r="D104" s="23" t="s">
        <v>225</v>
      </c>
      <c r="E104" s="24" t="s">
        <v>226</v>
      </c>
      <c r="F104" s="24" t="s">
        <v>226</v>
      </c>
      <c r="G104" s="24" t="s">
        <v>226</v>
      </c>
    </row>
    <row r="105" spans="1:13" x14ac:dyDescent="0.45">
      <c r="A105" s="22" t="s">
        <v>98</v>
      </c>
      <c r="B105" s="20" t="s">
        <v>207</v>
      </c>
      <c r="C105" s="25" t="s">
        <v>198</v>
      </c>
      <c r="D105" s="23" t="s">
        <v>198</v>
      </c>
    </row>
    <row r="106" spans="1:13" s="29" customFormat="1" x14ac:dyDescent="0.45">
      <c r="A106" s="34" t="s">
        <v>227</v>
      </c>
      <c r="B106" s="20" t="s">
        <v>209</v>
      </c>
      <c r="C106" s="35" t="s">
        <v>201</v>
      </c>
      <c r="D106" s="30" t="s">
        <v>198</v>
      </c>
      <c r="E106" s="8"/>
      <c r="F106" s="8"/>
      <c r="G106" s="8"/>
    </row>
    <row r="107" spans="1:13" s="29" customFormat="1" x14ac:dyDescent="0.45">
      <c r="A107" s="34" t="s">
        <v>228</v>
      </c>
      <c r="B107" s="20" t="s">
        <v>209</v>
      </c>
      <c r="C107" s="35" t="s">
        <v>201</v>
      </c>
      <c r="D107" s="30" t="s">
        <v>198</v>
      </c>
      <c r="E107" s="8"/>
      <c r="F107" s="8"/>
      <c r="G107" s="8"/>
    </row>
    <row r="108" spans="1:13" s="29" customFormat="1" x14ac:dyDescent="0.45">
      <c r="A108" s="34" t="s">
        <v>229</v>
      </c>
      <c r="B108" s="20" t="s">
        <v>209</v>
      </c>
      <c r="C108" s="35" t="s">
        <v>201</v>
      </c>
      <c r="D108" s="30" t="s">
        <v>198</v>
      </c>
      <c r="E108" s="8"/>
      <c r="F108" s="8"/>
      <c r="G108" s="8"/>
    </row>
    <row r="109" spans="1:13" s="29" customFormat="1" x14ac:dyDescent="0.45">
      <c r="A109" s="34" t="s">
        <v>230</v>
      </c>
      <c r="B109" s="20" t="s">
        <v>209</v>
      </c>
      <c r="C109" s="35" t="s">
        <v>201</v>
      </c>
      <c r="D109" s="30" t="s">
        <v>198</v>
      </c>
      <c r="E109" s="8"/>
      <c r="F109" s="8"/>
      <c r="G109" s="8"/>
    </row>
    <row r="110" spans="1:13" x14ac:dyDescent="0.45">
      <c r="A110" s="22" t="s">
        <v>99</v>
      </c>
      <c r="B110" s="20" t="s">
        <v>207</v>
      </c>
      <c r="C110" s="32" t="s">
        <v>219</v>
      </c>
      <c r="D110" s="33" t="s">
        <v>219</v>
      </c>
    </row>
    <row r="111" spans="1:13" x14ac:dyDescent="0.45">
      <c r="A111" s="22" t="s">
        <v>100</v>
      </c>
      <c r="B111" s="20" t="s">
        <v>207</v>
      </c>
      <c r="C111" s="32" t="s">
        <v>231</v>
      </c>
      <c r="D111" s="33" t="s">
        <v>231</v>
      </c>
    </row>
    <row r="112" spans="1:13" x14ac:dyDescent="0.45">
      <c r="A112" s="22" t="s">
        <v>101</v>
      </c>
      <c r="B112" s="20" t="s">
        <v>207</v>
      </c>
      <c r="C112" s="32" t="s">
        <v>232</v>
      </c>
      <c r="D112" s="33" t="s">
        <v>232</v>
      </c>
    </row>
    <row r="113" spans="1:13" x14ac:dyDescent="0.45">
      <c r="A113" s="22" t="s">
        <v>102</v>
      </c>
      <c r="B113" s="20" t="s">
        <v>207</v>
      </c>
      <c r="C113" s="25" t="s">
        <v>198</v>
      </c>
      <c r="D113" s="23" t="s">
        <v>198</v>
      </c>
    </row>
    <row r="114" spans="1:13" ht="42.75" x14ac:dyDescent="0.45">
      <c r="A114" s="22" t="s">
        <v>103</v>
      </c>
      <c r="B114" s="20" t="s">
        <v>203</v>
      </c>
      <c r="C114" s="32" t="s">
        <v>233</v>
      </c>
      <c r="D114" s="23" t="s">
        <v>234</v>
      </c>
      <c r="J114" s="6" t="s">
        <v>171</v>
      </c>
      <c r="K114" t="s">
        <v>275</v>
      </c>
      <c r="L114" t="s">
        <v>275</v>
      </c>
    </row>
    <row r="115" spans="1:13" x14ac:dyDescent="0.45">
      <c r="A115" s="22" t="s">
        <v>104</v>
      </c>
      <c r="B115" s="20" t="s">
        <v>203</v>
      </c>
      <c r="C115" s="25" t="s">
        <v>198</v>
      </c>
      <c r="D115" s="23" t="s">
        <v>198</v>
      </c>
    </row>
    <row r="116" spans="1:13" s="29" customFormat="1" x14ac:dyDescent="0.45">
      <c r="A116" s="34" t="s">
        <v>235</v>
      </c>
      <c r="B116" s="20" t="s">
        <v>209</v>
      </c>
      <c r="C116" s="35" t="s">
        <v>201</v>
      </c>
      <c r="D116" s="30" t="s">
        <v>198</v>
      </c>
      <c r="E116" s="8"/>
      <c r="F116" s="8"/>
      <c r="G116" s="8"/>
    </row>
    <row r="117" spans="1:13" x14ac:dyDescent="0.45">
      <c r="A117" s="22" t="s">
        <v>105</v>
      </c>
      <c r="B117" s="20" t="s">
        <v>203</v>
      </c>
      <c r="C117" s="25" t="s">
        <v>198</v>
      </c>
      <c r="D117" s="23" t="s">
        <v>198</v>
      </c>
    </row>
    <row r="118" spans="1:13" x14ac:dyDescent="0.45">
      <c r="A118" s="22" t="s">
        <v>106</v>
      </c>
      <c r="B118" s="20" t="s">
        <v>203</v>
      </c>
      <c r="C118" s="25" t="s">
        <v>198</v>
      </c>
      <c r="D118" s="23" t="s">
        <v>198</v>
      </c>
    </row>
    <row r="119" spans="1:13" x14ac:dyDescent="0.45">
      <c r="A119" s="22" t="s">
        <v>107</v>
      </c>
      <c r="B119" s="20" t="s">
        <v>203</v>
      </c>
      <c r="C119" s="25" t="s">
        <v>198</v>
      </c>
      <c r="D119" s="23" t="s">
        <v>198</v>
      </c>
    </row>
    <row r="120" spans="1:13" s="29" customFormat="1" x14ac:dyDescent="0.45">
      <c r="A120" s="34" t="s">
        <v>236</v>
      </c>
      <c r="B120" s="20" t="s">
        <v>209</v>
      </c>
      <c r="C120" s="35" t="s">
        <v>201</v>
      </c>
      <c r="D120" s="30" t="s">
        <v>198</v>
      </c>
      <c r="E120" s="8"/>
      <c r="F120" s="8"/>
      <c r="G120" s="8"/>
    </row>
    <row r="121" spans="1:13" s="29" customFormat="1" x14ac:dyDescent="0.45">
      <c r="A121" s="36" t="s">
        <v>237</v>
      </c>
      <c r="B121" s="20" t="s">
        <v>209</v>
      </c>
      <c r="C121" s="35" t="s">
        <v>201</v>
      </c>
      <c r="D121" s="38" t="s">
        <v>220</v>
      </c>
      <c r="E121" s="8"/>
      <c r="F121" s="8"/>
      <c r="G121" s="8"/>
    </row>
    <row r="122" spans="1:13" s="29" customFormat="1" x14ac:dyDescent="0.45">
      <c r="A122" s="34" t="s">
        <v>238</v>
      </c>
      <c r="B122" s="20" t="s">
        <v>209</v>
      </c>
      <c r="C122" s="35" t="s">
        <v>201</v>
      </c>
      <c r="D122" s="38" t="s">
        <v>239</v>
      </c>
      <c r="E122" s="8"/>
      <c r="F122" s="8"/>
      <c r="G122" s="8"/>
    </row>
    <row r="123" spans="1:13" s="29" customFormat="1" x14ac:dyDescent="0.45">
      <c r="A123" s="34" t="s">
        <v>240</v>
      </c>
      <c r="B123" s="20" t="s">
        <v>209</v>
      </c>
      <c r="C123" s="35" t="s">
        <v>201</v>
      </c>
      <c r="D123" s="30" t="s">
        <v>198</v>
      </c>
      <c r="E123" s="8"/>
      <c r="F123" s="8"/>
      <c r="G123" s="8"/>
    </row>
    <row r="124" spans="1:13" x14ac:dyDescent="0.45">
      <c r="A124" s="22" t="s">
        <v>108</v>
      </c>
      <c r="B124" s="20" t="s">
        <v>203</v>
      </c>
      <c r="C124" s="25" t="s">
        <v>198</v>
      </c>
      <c r="D124" s="23" t="s">
        <v>198</v>
      </c>
    </row>
    <row r="125" spans="1:13" s="29" customFormat="1" x14ac:dyDescent="0.45">
      <c r="A125" s="34" t="s">
        <v>241</v>
      </c>
      <c r="B125" s="20" t="s">
        <v>209</v>
      </c>
      <c r="C125" s="35" t="s">
        <v>201</v>
      </c>
      <c r="D125" s="30" t="s">
        <v>198</v>
      </c>
      <c r="E125" s="8"/>
      <c r="F125" s="8"/>
      <c r="G125" s="8"/>
    </row>
    <row r="126" spans="1:13" s="29" customFormat="1" x14ac:dyDescent="0.45">
      <c r="A126" s="34" t="s">
        <v>242</v>
      </c>
      <c r="B126" s="20" t="s">
        <v>209</v>
      </c>
      <c r="C126" s="35" t="s">
        <v>201</v>
      </c>
      <c r="D126" s="30" t="s">
        <v>198</v>
      </c>
      <c r="E126" s="8"/>
      <c r="F126" s="8"/>
      <c r="G126" s="8"/>
    </row>
    <row r="127" spans="1:13" x14ac:dyDescent="0.45">
      <c r="A127" s="22" t="s">
        <v>109</v>
      </c>
      <c r="B127" s="20" t="s">
        <v>203</v>
      </c>
      <c r="C127" s="32" t="s">
        <v>243</v>
      </c>
      <c r="D127" s="33" t="s">
        <v>243</v>
      </c>
      <c r="K127" t="s">
        <v>275</v>
      </c>
    </row>
    <row r="128" spans="1:13" x14ac:dyDescent="0.45">
      <c r="A128" s="22" t="s">
        <v>110</v>
      </c>
      <c r="B128" s="20" t="s">
        <v>203</v>
      </c>
      <c r="C128" s="25" t="s">
        <v>198</v>
      </c>
      <c r="D128" s="23" t="s">
        <v>198</v>
      </c>
      <c r="I128" s="5" t="s">
        <v>172</v>
      </c>
      <c r="K128" t="s">
        <v>275</v>
      </c>
      <c r="L128" t="s">
        <v>275</v>
      </c>
      <c r="M128" t="s">
        <v>275</v>
      </c>
    </row>
    <row r="129" spans="1:13" x14ac:dyDescent="0.45">
      <c r="A129" s="22" t="s">
        <v>111</v>
      </c>
      <c r="B129" s="20" t="s">
        <v>203</v>
      </c>
      <c r="C129" s="39" t="s">
        <v>244</v>
      </c>
      <c r="D129" s="33" t="s">
        <v>245</v>
      </c>
      <c r="I129" s="5"/>
      <c r="K129" t="s">
        <v>275</v>
      </c>
      <c r="M129" t="s">
        <v>275</v>
      </c>
    </row>
    <row r="130" spans="1:13" ht="71.25" x14ac:dyDescent="0.45">
      <c r="A130" s="22" t="s">
        <v>112</v>
      </c>
      <c r="B130" s="20" t="s">
        <v>203</v>
      </c>
      <c r="C130" s="25" t="s">
        <v>198</v>
      </c>
      <c r="D130" s="23" t="s">
        <v>198</v>
      </c>
      <c r="E130" s="24" t="s">
        <v>246</v>
      </c>
      <c r="F130" s="24" t="s">
        <v>246</v>
      </c>
      <c r="G130" s="24" t="s">
        <v>246</v>
      </c>
      <c r="I130" s="5" t="s">
        <v>172</v>
      </c>
    </row>
    <row r="131" spans="1:13" x14ac:dyDescent="0.45">
      <c r="A131" s="22" t="s">
        <v>113</v>
      </c>
      <c r="B131" s="20" t="s">
        <v>207</v>
      </c>
      <c r="C131" s="25" t="s">
        <v>198</v>
      </c>
      <c r="D131" s="23" t="s">
        <v>198</v>
      </c>
      <c r="I131" s="5"/>
    </row>
    <row r="132" spans="1:13" ht="57" x14ac:dyDescent="0.45">
      <c r="A132" s="22" t="s">
        <v>114</v>
      </c>
      <c r="B132" s="20" t="s">
        <v>207</v>
      </c>
      <c r="C132" s="25" t="s">
        <v>198</v>
      </c>
      <c r="D132" s="23" t="s">
        <v>198</v>
      </c>
      <c r="G132" s="24" t="s">
        <v>247</v>
      </c>
      <c r="I132" s="5" t="s">
        <v>172</v>
      </c>
    </row>
    <row r="133" spans="1:13" x14ac:dyDescent="0.45">
      <c r="A133" s="22" t="s">
        <v>115</v>
      </c>
      <c r="B133" s="20" t="s">
        <v>207</v>
      </c>
      <c r="C133" s="25" t="s">
        <v>198</v>
      </c>
      <c r="D133" s="23" t="s">
        <v>198</v>
      </c>
    </row>
    <row r="134" spans="1:13" s="29" customFormat="1" x14ac:dyDescent="0.45">
      <c r="A134" s="34" t="s">
        <v>248</v>
      </c>
      <c r="B134" s="20" t="s">
        <v>209</v>
      </c>
      <c r="C134" s="35" t="s">
        <v>201</v>
      </c>
      <c r="D134" s="30"/>
      <c r="E134" s="8"/>
      <c r="F134" s="8"/>
      <c r="G134" s="8"/>
    </row>
    <row r="135" spans="1:13" s="29" customFormat="1" x14ac:dyDescent="0.45">
      <c r="A135" s="34" t="s">
        <v>249</v>
      </c>
      <c r="B135" s="20" t="s">
        <v>209</v>
      </c>
      <c r="C135" s="35" t="s">
        <v>201</v>
      </c>
      <c r="D135" s="30"/>
      <c r="E135" s="8"/>
      <c r="F135" s="8"/>
      <c r="G135" s="8"/>
    </row>
    <row r="136" spans="1:13" s="29" customFormat="1" x14ac:dyDescent="0.45">
      <c r="A136" s="34" t="s">
        <v>250</v>
      </c>
      <c r="B136" s="20" t="s">
        <v>209</v>
      </c>
      <c r="C136" s="35" t="s">
        <v>201</v>
      </c>
      <c r="D136" s="30" t="s">
        <v>198</v>
      </c>
      <c r="E136" s="8"/>
      <c r="F136" s="8"/>
      <c r="G136" s="8"/>
    </row>
    <row r="137" spans="1:13" s="29" customFormat="1" x14ac:dyDescent="0.45">
      <c r="A137" s="40" t="s">
        <v>116</v>
      </c>
      <c r="B137" s="41" t="s">
        <v>207</v>
      </c>
      <c r="D137" s="42"/>
      <c r="E137" s="8"/>
      <c r="F137" s="8"/>
      <c r="G137" s="8"/>
    </row>
    <row r="138" spans="1:13" s="29" customFormat="1" x14ac:dyDescent="0.45">
      <c r="A138" s="34" t="s">
        <v>251</v>
      </c>
      <c r="B138" s="43" t="s">
        <v>209</v>
      </c>
      <c r="D138" s="42"/>
      <c r="E138" s="8"/>
      <c r="F138" s="8"/>
      <c r="G138" s="8"/>
    </row>
    <row r="139" spans="1:13" s="29" customFormat="1" x14ac:dyDescent="0.45">
      <c r="A139" s="34" t="s">
        <v>252</v>
      </c>
      <c r="B139" s="43" t="s">
        <v>209</v>
      </c>
      <c r="D139" s="43"/>
      <c r="E139" s="8"/>
      <c r="F139" s="8"/>
      <c r="G139" s="8"/>
    </row>
    <row r="140" spans="1:13" x14ac:dyDescent="0.45">
      <c r="A140" s="22" t="s">
        <v>117</v>
      </c>
      <c r="B140" s="20" t="s">
        <v>203</v>
      </c>
      <c r="C140" s="25" t="s">
        <v>198</v>
      </c>
      <c r="D140" s="23" t="s">
        <v>198</v>
      </c>
    </row>
    <row r="141" spans="1:13" x14ac:dyDescent="0.45">
      <c r="A141" s="22" t="s">
        <v>118</v>
      </c>
      <c r="B141" s="20" t="s">
        <v>203</v>
      </c>
      <c r="C141" s="25" t="s">
        <v>198</v>
      </c>
      <c r="D141" s="23" t="s">
        <v>198</v>
      </c>
    </row>
    <row r="142" spans="1:13" x14ac:dyDescent="0.45">
      <c r="A142" s="22" t="s">
        <v>119</v>
      </c>
      <c r="B142" s="20" t="s">
        <v>203</v>
      </c>
      <c r="C142" s="32" t="s">
        <v>220</v>
      </c>
      <c r="D142" s="33" t="s">
        <v>220</v>
      </c>
      <c r="M142" t="s">
        <v>275</v>
      </c>
    </row>
    <row r="143" spans="1:13" x14ac:dyDescent="0.45">
      <c r="A143" s="22" t="s">
        <v>120</v>
      </c>
      <c r="B143" s="20" t="s">
        <v>203</v>
      </c>
      <c r="C143" s="25" t="s">
        <v>198</v>
      </c>
      <c r="D143" s="23" t="s">
        <v>198</v>
      </c>
    </row>
    <row r="144" spans="1:13" s="29" customFormat="1" x14ac:dyDescent="0.45">
      <c r="A144" s="34" t="s">
        <v>253</v>
      </c>
      <c r="B144" s="20" t="s">
        <v>209</v>
      </c>
      <c r="C144" s="35" t="s">
        <v>201</v>
      </c>
      <c r="D144" s="30"/>
      <c r="E144" s="8"/>
      <c r="F144" s="8"/>
      <c r="G144" s="8"/>
    </row>
    <row r="145" spans="1:13" s="29" customFormat="1" x14ac:dyDescent="0.45">
      <c r="A145" s="34" t="s">
        <v>254</v>
      </c>
      <c r="B145" s="20" t="s">
        <v>209</v>
      </c>
      <c r="C145" s="35" t="s">
        <v>201</v>
      </c>
      <c r="D145" s="30" t="s">
        <v>198</v>
      </c>
      <c r="E145" s="8"/>
      <c r="F145" s="8"/>
      <c r="G145" s="8"/>
    </row>
    <row r="146" spans="1:13" s="29" customFormat="1" x14ac:dyDescent="0.45">
      <c r="A146" s="40" t="s">
        <v>121</v>
      </c>
      <c r="B146" s="20" t="s">
        <v>207</v>
      </c>
      <c r="D146" s="30"/>
      <c r="E146" s="8"/>
      <c r="F146" s="8"/>
      <c r="G146" s="8"/>
    </row>
    <row r="147" spans="1:13" s="29" customFormat="1" ht="57" x14ac:dyDescent="0.45">
      <c r="A147" s="40" t="s">
        <v>122</v>
      </c>
      <c r="B147" s="20" t="s">
        <v>207</v>
      </c>
      <c r="D147" s="30"/>
      <c r="E147" s="10" t="s">
        <v>223</v>
      </c>
      <c r="F147" s="10" t="s">
        <v>255</v>
      </c>
      <c r="G147" s="10" t="s">
        <v>255</v>
      </c>
    </row>
    <row r="148" spans="1:13" ht="42.75" x14ac:dyDescent="0.45">
      <c r="A148" s="22" t="s">
        <v>123</v>
      </c>
      <c r="B148" s="20" t="s">
        <v>203</v>
      </c>
      <c r="C148" s="32" t="s">
        <v>220</v>
      </c>
      <c r="D148" s="33" t="s">
        <v>220</v>
      </c>
      <c r="E148" s="24" t="s">
        <v>202</v>
      </c>
      <c r="F148" s="24" t="s">
        <v>202</v>
      </c>
      <c r="G148" s="24" t="s">
        <v>202</v>
      </c>
      <c r="I148" s="5" t="s">
        <v>172</v>
      </c>
      <c r="J148" s="8"/>
      <c r="K148" t="s">
        <v>275</v>
      </c>
      <c r="L148" t="s">
        <v>275</v>
      </c>
      <c r="M148" t="s">
        <v>275</v>
      </c>
    </row>
    <row r="149" spans="1:13" x14ac:dyDescent="0.45">
      <c r="A149" s="22" t="s">
        <v>124</v>
      </c>
      <c r="B149" s="20" t="s">
        <v>207</v>
      </c>
      <c r="C149" s="32" t="s">
        <v>239</v>
      </c>
      <c r="D149" s="33" t="s">
        <v>239</v>
      </c>
      <c r="I149" s="5" t="s">
        <v>172</v>
      </c>
      <c r="J149" s="6" t="s">
        <v>169</v>
      </c>
    </row>
    <row r="150" spans="1:13" s="29" customFormat="1" x14ac:dyDescent="0.45">
      <c r="A150" s="34" t="s">
        <v>256</v>
      </c>
      <c r="B150" s="20" t="s">
        <v>209</v>
      </c>
      <c r="C150" s="35" t="s">
        <v>201</v>
      </c>
      <c r="D150" s="30" t="s">
        <v>198</v>
      </c>
      <c r="E150" s="8"/>
      <c r="F150" s="8"/>
      <c r="G150" s="8"/>
    </row>
    <row r="151" spans="1:13" s="29" customFormat="1" x14ac:dyDescent="0.45">
      <c r="A151" s="34" t="s">
        <v>257</v>
      </c>
      <c r="B151" s="20" t="s">
        <v>209</v>
      </c>
      <c r="C151" s="35" t="s">
        <v>201</v>
      </c>
      <c r="D151" s="30" t="s">
        <v>198</v>
      </c>
      <c r="E151" s="8"/>
      <c r="F151" s="8"/>
      <c r="G151" s="8"/>
    </row>
    <row r="152" spans="1:13" s="29" customFormat="1" x14ac:dyDescent="0.45">
      <c r="A152" s="34" t="s">
        <v>258</v>
      </c>
      <c r="B152" s="20" t="s">
        <v>209</v>
      </c>
      <c r="C152" s="35" t="s">
        <v>201</v>
      </c>
      <c r="D152" s="45" t="s">
        <v>259</v>
      </c>
      <c r="E152" s="8"/>
      <c r="F152" s="8"/>
      <c r="G152" s="8"/>
    </row>
    <row r="153" spans="1:13" s="29" customFormat="1" x14ac:dyDescent="0.45">
      <c r="A153" s="34" t="s">
        <v>260</v>
      </c>
      <c r="B153" s="20" t="s">
        <v>209</v>
      </c>
      <c r="C153" s="35" t="s">
        <v>201</v>
      </c>
      <c r="D153" s="45" t="s">
        <v>259</v>
      </c>
      <c r="E153" s="8"/>
      <c r="F153" s="8"/>
      <c r="G153" s="8"/>
    </row>
    <row r="154" spans="1:13" x14ac:dyDescent="0.45">
      <c r="A154" s="22" t="s">
        <v>125</v>
      </c>
      <c r="B154" s="20" t="s">
        <v>203</v>
      </c>
      <c r="C154" s="25" t="s">
        <v>198</v>
      </c>
      <c r="D154" s="23" t="s">
        <v>198</v>
      </c>
    </row>
    <row r="155" spans="1:13" x14ac:dyDescent="0.45">
      <c r="A155" s="22" t="s">
        <v>126</v>
      </c>
      <c r="B155" s="20" t="s">
        <v>203</v>
      </c>
      <c r="C155" s="25" t="s">
        <v>198</v>
      </c>
      <c r="D155" s="23" t="s">
        <v>198</v>
      </c>
      <c r="K155" t="s">
        <v>275</v>
      </c>
    </row>
    <row r="156" spans="1:13" x14ac:dyDescent="0.45">
      <c r="A156" s="22" t="s">
        <v>127</v>
      </c>
      <c r="B156" s="20" t="s">
        <v>207</v>
      </c>
      <c r="C156" s="25" t="s">
        <v>198</v>
      </c>
      <c r="D156" s="23" t="s">
        <v>198</v>
      </c>
    </row>
    <row r="157" spans="1:13" x14ac:dyDescent="0.45">
      <c r="A157" s="22" t="s">
        <v>128</v>
      </c>
      <c r="B157" s="20" t="s">
        <v>207</v>
      </c>
      <c r="C157" s="25" t="s">
        <v>198</v>
      </c>
      <c r="D157" s="23" t="s">
        <v>198</v>
      </c>
    </row>
    <row r="158" spans="1:13" s="29" customFormat="1" x14ac:dyDescent="0.45">
      <c r="A158" s="34" t="s">
        <v>261</v>
      </c>
      <c r="B158" s="20" t="s">
        <v>209</v>
      </c>
      <c r="C158" s="35" t="s">
        <v>201</v>
      </c>
      <c r="D158" s="42"/>
      <c r="E158" s="8"/>
      <c r="F158" s="8"/>
      <c r="G158" s="8"/>
    </row>
    <row r="159" spans="1:13" s="29" customFormat="1" x14ac:dyDescent="0.45">
      <c r="A159" s="40" t="s">
        <v>129</v>
      </c>
      <c r="B159" s="18" t="s">
        <v>203</v>
      </c>
      <c r="D159" s="42"/>
      <c r="E159" s="8"/>
      <c r="F159" s="8"/>
      <c r="G159" s="8"/>
    </row>
    <row r="160" spans="1:13" x14ac:dyDescent="0.45">
      <c r="A160" s="22" t="s">
        <v>130</v>
      </c>
      <c r="B160" s="20" t="s">
        <v>203</v>
      </c>
      <c r="C160" s="25" t="s">
        <v>198</v>
      </c>
      <c r="D160" s="23" t="s">
        <v>198</v>
      </c>
    </row>
    <row r="161" spans="1:13" x14ac:dyDescent="0.45">
      <c r="A161" s="22" t="s">
        <v>131</v>
      </c>
      <c r="B161" s="20" t="s">
        <v>203</v>
      </c>
      <c r="C161" s="25" t="s">
        <v>198</v>
      </c>
      <c r="D161" s="23" t="s">
        <v>198</v>
      </c>
    </row>
    <row r="162" spans="1:13" x14ac:dyDescent="0.45">
      <c r="A162" s="22" t="s">
        <v>132</v>
      </c>
      <c r="B162" s="20" t="s">
        <v>207</v>
      </c>
      <c r="C162" s="25" t="s">
        <v>198</v>
      </c>
      <c r="D162" s="23" t="s">
        <v>198</v>
      </c>
      <c r="J162" s="6" t="s">
        <v>173</v>
      </c>
    </row>
    <row r="163" spans="1:13" x14ac:dyDescent="0.45">
      <c r="A163" s="22" t="s">
        <v>133</v>
      </c>
      <c r="B163" s="20" t="s">
        <v>207</v>
      </c>
      <c r="C163" s="25" t="s">
        <v>198</v>
      </c>
      <c r="D163" s="26" t="s">
        <v>199</v>
      </c>
    </row>
    <row r="164" spans="1:13" s="29" customFormat="1" x14ac:dyDescent="0.45">
      <c r="A164" s="34" t="s">
        <v>262</v>
      </c>
      <c r="B164" s="20" t="s">
        <v>209</v>
      </c>
      <c r="C164" s="35" t="s">
        <v>201</v>
      </c>
      <c r="D164" s="42"/>
      <c r="E164" s="8"/>
      <c r="F164" s="8"/>
      <c r="G164" s="8"/>
    </row>
    <row r="165" spans="1:13" s="29" customFormat="1" x14ac:dyDescent="0.45">
      <c r="A165" s="34" t="s">
        <v>263</v>
      </c>
      <c r="B165" s="20" t="s">
        <v>209</v>
      </c>
      <c r="C165" s="35" t="s">
        <v>201</v>
      </c>
      <c r="D165" s="42"/>
      <c r="E165" s="8"/>
      <c r="F165" s="8"/>
      <c r="G165" s="8"/>
    </row>
    <row r="166" spans="1:13" s="29" customFormat="1" x14ac:dyDescent="0.45">
      <c r="A166" s="40" t="s">
        <v>134</v>
      </c>
      <c r="B166" s="41" t="s">
        <v>203</v>
      </c>
      <c r="D166" s="42"/>
      <c r="E166" s="8"/>
      <c r="F166" s="8"/>
      <c r="G166" s="8"/>
    </row>
    <row r="167" spans="1:13" s="29" customFormat="1" x14ac:dyDescent="0.45">
      <c r="A167" s="40" t="s">
        <v>135</v>
      </c>
      <c r="B167" s="41" t="s">
        <v>207</v>
      </c>
      <c r="D167" s="42"/>
      <c r="E167" s="8"/>
      <c r="F167" s="8"/>
      <c r="G167" s="8"/>
    </row>
    <row r="168" spans="1:13" s="29" customFormat="1" x14ac:dyDescent="0.45">
      <c r="A168" s="34" t="s">
        <v>264</v>
      </c>
      <c r="B168" s="43" t="s">
        <v>209</v>
      </c>
      <c r="D168" s="42"/>
      <c r="E168" s="8"/>
      <c r="F168" s="8"/>
      <c r="G168" s="8"/>
    </row>
    <row r="169" spans="1:13" ht="42.75" x14ac:dyDescent="0.45">
      <c r="A169" s="22" t="s">
        <v>136</v>
      </c>
      <c r="B169" s="20" t="s">
        <v>203</v>
      </c>
      <c r="D169" s="23" t="s">
        <v>198</v>
      </c>
      <c r="E169" s="24" t="s">
        <v>202</v>
      </c>
      <c r="F169" s="24" t="s">
        <v>202</v>
      </c>
      <c r="G169" s="24" t="s">
        <v>202</v>
      </c>
      <c r="K169" t="s">
        <v>275</v>
      </c>
      <c r="L169" t="s">
        <v>275</v>
      </c>
      <c r="M169" t="s">
        <v>275</v>
      </c>
    </row>
    <row r="170" spans="1:13" x14ac:dyDescent="0.45">
      <c r="A170" s="22" t="s">
        <v>137</v>
      </c>
      <c r="B170" s="20" t="s">
        <v>207</v>
      </c>
      <c r="D170" s="26" t="s">
        <v>199</v>
      </c>
    </row>
    <row r="171" spans="1:13" x14ac:dyDescent="0.45">
      <c r="A171" s="22" t="s">
        <v>138</v>
      </c>
      <c r="B171" s="20" t="s">
        <v>1</v>
      </c>
    </row>
    <row r="172" spans="1:13" x14ac:dyDescent="0.45">
      <c r="A172" s="31" t="s">
        <v>139</v>
      </c>
      <c r="B172" s="18" t="s">
        <v>1</v>
      </c>
      <c r="C172" s="25" t="s">
        <v>198</v>
      </c>
      <c r="D172" s="23" t="s">
        <v>198</v>
      </c>
    </row>
    <row r="173" spans="1:13" x14ac:dyDescent="0.45">
      <c r="A173" s="22" t="s">
        <v>141</v>
      </c>
      <c r="B173" s="20" t="s">
        <v>1</v>
      </c>
      <c r="C173" s="25" t="s">
        <v>198</v>
      </c>
      <c r="D173" s="23" t="s">
        <v>198</v>
      </c>
    </row>
    <row r="174" spans="1:13" x14ac:dyDescent="0.45">
      <c r="A174" s="22" t="s">
        <v>142</v>
      </c>
      <c r="B174" s="20" t="s">
        <v>1</v>
      </c>
      <c r="C174" s="25" t="s">
        <v>198</v>
      </c>
      <c r="D174" s="23" t="s">
        <v>265</v>
      </c>
    </row>
    <row r="175" spans="1:13" x14ac:dyDescent="0.45">
      <c r="A175" s="22" t="s">
        <v>143</v>
      </c>
      <c r="B175" s="20" t="s">
        <v>1</v>
      </c>
      <c r="C175" s="25" t="s">
        <v>198</v>
      </c>
      <c r="D175" s="23" t="s">
        <v>198</v>
      </c>
    </row>
    <row r="176" spans="1:13" x14ac:dyDescent="0.45">
      <c r="A176" s="31" t="s">
        <v>144</v>
      </c>
      <c r="B176" s="18" t="s">
        <v>1</v>
      </c>
    </row>
    <row r="177" spans="1:4" x14ac:dyDescent="0.45">
      <c r="A177" s="31" t="s">
        <v>145</v>
      </c>
      <c r="B177" s="18" t="s">
        <v>1</v>
      </c>
    </row>
    <row r="178" spans="1:4" x14ac:dyDescent="0.45">
      <c r="A178" s="21" t="s">
        <v>146</v>
      </c>
      <c r="B178" s="18" t="s">
        <v>1</v>
      </c>
    </row>
    <row r="179" spans="1:4" x14ac:dyDescent="0.45">
      <c r="A179" s="22" t="s">
        <v>147</v>
      </c>
      <c r="B179" s="18" t="s">
        <v>1</v>
      </c>
    </row>
    <row r="180" spans="1:4" x14ac:dyDescent="0.45">
      <c r="A180" s="22" t="s">
        <v>148</v>
      </c>
      <c r="B180" s="18" t="s">
        <v>1</v>
      </c>
    </row>
    <row r="181" spans="1:4" x14ac:dyDescent="0.45">
      <c r="A181" s="22" t="s">
        <v>149</v>
      </c>
      <c r="B181" s="18" t="s">
        <v>1</v>
      </c>
    </row>
    <row r="182" spans="1:4" x14ac:dyDescent="0.45">
      <c r="A182" s="22" t="s">
        <v>150</v>
      </c>
      <c r="B182" s="18" t="s">
        <v>1</v>
      </c>
    </row>
    <row r="183" spans="1:4" x14ac:dyDescent="0.45">
      <c r="A183" s="22" t="s">
        <v>151</v>
      </c>
      <c r="B183" s="18" t="s">
        <v>1</v>
      </c>
    </row>
    <row r="184" spans="1:4" x14ac:dyDescent="0.45">
      <c r="A184" s="22" t="s">
        <v>152</v>
      </c>
      <c r="B184" s="18" t="s">
        <v>1</v>
      </c>
    </row>
    <row r="185" spans="1:4" x14ac:dyDescent="0.45">
      <c r="A185" s="22" t="s">
        <v>153</v>
      </c>
      <c r="B185" s="18" t="s">
        <v>1</v>
      </c>
    </row>
    <row r="186" spans="1:4" x14ac:dyDescent="0.45">
      <c r="A186" s="22" t="s">
        <v>154</v>
      </c>
      <c r="B186" s="18" t="s">
        <v>1</v>
      </c>
    </row>
    <row r="187" spans="1:4" x14ac:dyDescent="0.45">
      <c r="A187" s="17" t="s">
        <v>155</v>
      </c>
      <c r="B187" s="18"/>
    </row>
    <row r="188" spans="1:4" x14ac:dyDescent="0.45">
      <c r="A188" s="27" t="s">
        <v>156</v>
      </c>
      <c r="B188" s="18" t="s">
        <v>1</v>
      </c>
    </row>
    <row r="189" spans="1:4" x14ac:dyDescent="0.45">
      <c r="A189" t="s">
        <v>157</v>
      </c>
      <c r="B189" s="20" t="s">
        <v>158</v>
      </c>
      <c r="C189" s="39" t="s">
        <v>259</v>
      </c>
      <c r="D189" s="23" t="s">
        <v>259</v>
      </c>
    </row>
    <row r="190" spans="1:4" x14ac:dyDescent="0.45">
      <c r="A190" t="s">
        <v>159</v>
      </c>
      <c r="B190" s="20" t="s">
        <v>158</v>
      </c>
      <c r="C190" s="39" t="s">
        <v>259</v>
      </c>
      <c r="D190" s="23" t="s">
        <v>259</v>
      </c>
    </row>
    <row r="191" spans="1:4" x14ac:dyDescent="0.45">
      <c r="A191" t="s">
        <v>160</v>
      </c>
      <c r="B191" s="20" t="s">
        <v>158</v>
      </c>
      <c r="C191" s="39" t="s">
        <v>259</v>
      </c>
      <c r="D191" s="23" t="s">
        <v>259</v>
      </c>
    </row>
    <row r="192" spans="1:4" x14ac:dyDescent="0.45">
      <c r="A192" t="s">
        <v>161</v>
      </c>
      <c r="B192" s="20" t="s">
        <v>158</v>
      </c>
      <c r="D192" s="26" t="s">
        <v>199</v>
      </c>
    </row>
    <row r="193" spans="1:10" x14ac:dyDescent="0.45">
      <c r="A193" t="s">
        <v>266</v>
      </c>
      <c r="B193" s="20" t="s">
        <v>140</v>
      </c>
    </row>
    <row r="194" spans="1:10" x14ac:dyDescent="0.45">
      <c r="A194" s="11"/>
      <c r="B194" s="47"/>
    </row>
    <row r="195" spans="1:10" x14ac:dyDescent="0.45">
      <c r="A195" t="s">
        <v>267</v>
      </c>
      <c r="B195" s="20">
        <f>COUNTIF($B$2:$B$194,"A")</f>
        <v>31</v>
      </c>
      <c r="C195" s="49">
        <f>COUNTIFS($B$2:$B$194,"=A",C$2:C$194,"*")</f>
        <v>27</v>
      </c>
      <c r="D195" s="55">
        <f t="shared" ref="D195:J195" si="0">COUNTIFS($B$2:$B$194,"=A",D$2:D$194,"*")</f>
        <v>29</v>
      </c>
      <c r="E195" s="49">
        <f t="shared" si="0"/>
        <v>7</v>
      </c>
      <c r="F195" s="49">
        <f t="shared" si="0"/>
        <v>5</v>
      </c>
      <c r="G195" s="49">
        <f t="shared" si="0"/>
        <v>7</v>
      </c>
      <c r="H195" s="49">
        <f t="shared" si="0"/>
        <v>2</v>
      </c>
      <c r="I195" s="49">
        <f t="shared" si="0"/>
        <v>4</v>
      </c>
      <c r="J195" s="49">
        <f t="shared" si="0"/>
        <v>4</v>
      </c>
    </row>
    <row r="196" spans="1:10" x14ac:dyDescent="0.45">
      <c r="A196" t="s">
        <v>268</v>
      </c>
      <c r="B196" s="20">
        <f>COUNTIF($B$2:$B$194,"AA")</f>
        <v>24</v>
      </c>
      <c r="C196" s="50">
        <f>COUNTIFS($B$2:$B$194,"=AA",C$2:C$194,"*")</f>
        <v>19</v>
      </c>
      <c r="D196" s="56">
        <f t="shared" ref="D196:J196" si="1">COUNTIFS($B$2:$B$194,"=AA",D$2:D$194,"*")</f>
        <v>20</v>
      </c>
      <c r="E196" s="50">
        <f t="shared" si="1"/>
        <v>3</v>
      </c>
      <c r="F196" s="50">
        <f t="shared" si="1"/>
        <v>3</v>
      </c>
      <c r="G196" s="50">
        <f t="shared" si="1"/>
        <v>4</v>
      </c>
      <c r="H196" s="50">
        <f t="shared" si="1"/>
        <v>0</v>
      </c>
      <c r="I196" s="50">
        <f t="shared" si="1"/>
        <v>2</v>
      </c>
      <c r="J196" s="50">
        <f t="shared" si="1"/>
        <v>2</v>
      </c>
    </row>
    <row r="197" spans="1:10" s="29" customFormat="1" x14ac:dyDescent="0.45">
      <c r="A197" s="44" t="s">
        <v>269</v>
      </c>
      <c r="B197" s="42">
        <f>COUNTIF($B$2:$B$194,"AAA")</f>
        <v>31</v>
      </c>
      <c r="C197" s="51">
        <v>0</v>
      </c>
      <c r="D197" s="57">
        <v>1</v>
      </c>
      <c r="E197" s="51">
        <v>2</v>
      </c>
      <c r="F197" s="51">
        <v>3</v>
      </c>
      <c r="G197" s="51">
        <v>4</v>
      </c>
      <c r="H197" s="51">
        <v>5</v>
      </c>
      <c r="I197" s="51">
        <v>6</v>
      </c>
      <c r="J197" s="51">
        <v>7</v>
      </c>
    </row>
    <row r="198" spans="1:10" s="37" customFormat="1" x14ac:dyDescent="0.45">
      <c r="A198" t="s">
        <v>271</v>
      </c>
      <c r="B198" s="48">
        <f>COUNTIF($B$2:$B$194,"shall")</f>
        <v>97</v>
      </c>
      <c r="C198" s="50">
        <f>COUNTIFS($B$2:$B$194,"=shall",C$2:C$194,"*")</f>
        <v>12</v>
      </c>
      <c r="D198" s="56">
        <f t="shared" ref="D198:J198" si="2">COUNTIFS($B$2:$B$194,"=shall",D$2:D$194,"*")</f>
        <v>35</v>
      </c>
      <c r="E198" s="50">
        <f t="shared" si="2"/>
        <v>1</v>
      </c>
      <c r="F198" s="50">
        <f t="shared" si="2"/>
        <v>0</v>
      </c>
      <c r="G198" s="50">
        <f t="shared" si="2"/>
        <v>0</v>
      </c>
      <c r="H198" s="50">
        <f t="shared" si="2"/>
        <v>0</v>
      </c>
      <c r="I198" s="50">
        <f t="shared" si="2"/>
        <v>0</v>
      </c>
      <c r="J198" s="50">
        <f t="shared" si="2"/>
        <v>0</v>
      </c>
    </row>
    <row r="199" spans="1:10" s="29" customFormat="1" x14ac:dyDescent="0.45">
      <c r="A199" s="54" t="s">
        <v>270</v>
      </c>
      <c r="B199" s="52">
        <f>COUNTIF($B$2:$B$194,"should")</f>
        <v>4</v>
      </c>
      <c r="C199" s="53">
        <v>0</v>
      </c>
      <c r="D199" s="58">
        <v>1</v>
      </c>
      <c r="E199" s="53">
        <v>2</v>
      </c>
      <c r="F199" s="53">
        <v>3</v>
      </c>
      <c r="G199" s="53">
        <v>4</v>
      </c>
      <c r="H199" s="53">
        <v>5</v>
      </c>
      <c r="I199" s="53">
        <v>6</v>
      </c>
      <c r="J199" s="53">
        <v>7</v>
      </c>
    </row>
    <row r="200" spans="1:10" x14ac:dyDescent="0.45">
      <c r="B200" s="20">
        <f t="shared" ref="B200" si="3">SUM(B195:B199)</f>
        <v>187</v>
      </c>
      <c r="C200" s="19">
        <f>SUM(C195:C199)</f>
        <v>58</v>
      </c>
      <c r="D200" s="46">
        <f t="shared" ref="D200:J200" si="4">SUM(D195:D199)</f>
        <v>86</v>
      </c>
      <c r="E200" s="19">
        <f t="shared" si="4"/>
        <v>15</v>
      </c>
      <c r="F200" s="19">
        <f t="shared" si="4"/>
        <v>14</v>
      </c>
      <c r="G200" s="19">
        <f t="shared" si="4"/>
        <v>19</v>
      </c>
      <c r="H200" s="19">
        <f t="shared" si="4"/>
        <v>12</v>
      </c>
      <c r="I200" s="19">
        <f t="shared" si="4"/>
        <v>18</v>
      </c>
      <c r="J200" s="19">
        <f t="shared" si="4"/>
        <v>20</v>
      </c>
    </row>
    <row r="201" spans="1:10" x14ac:dyDescent="0.45">
      <c r="B201" s="20">
        <f>B200-B197-B199</f>
        <v>152</v>
      </c>
      <c r="C201" s="19">
        <f>C$195+C$196+C198</f>
        <v>58</v>
      </c>
      <c r="D201" s="46">
        <f t="shared" ref="D201:J201" si="5">D$195+D$196+D198</f>
        <v>84</v>
      </c>
      <c r="E201" s="19">
        <f t="shared" si="5"/>
        <v>11</v>
      </c>
      <c r="F201" s="19">
        <f t="shared" si="5"/>
        <v>8</v>
      </c>
      <c r="G201" s="19">
        <f t="shared" si="5"/>
        <v>11</v>
      </c>
      <c r="H201" s="19">
        <f t="shared" si="5"/>
        <v>2</v>
      </c>
      <c r="I201" s="19">
        <f t="shared" si="5"/>
        <v>6</v>
      </c>
      <c r="J201" s="19">
        <f t="shared" si="5"/>
        <v>6</v>
      </c>
    </row>
  </sheetData>
  <conditionalFormatting sqref="A1:A90">
    <cfRule type="cellIs" dxfId="12" priority="13" operator="equal">
      <formula>""</formula>
    </cfRule>
  </conditionalFormatting>
  <conditionalFormatting sqref="A95:A99 A101:A105 A110:A115 A117:A119 A124">
    <cfRule type="cellIs" dxfId="11" priority="12" operator="equal">
      <formula>""</formula>
    </cfRule>
  </conditionalFormatting>
  <conditionalFormatting sqref="A127:A134">
    <cfRule type="cellIs" dxfId="10" priority="11" operator="equal">
      <formula>""</formula>
    </cfRule>
  </conditionalFormatting>
  <conditionalFormatting sqref="A137">
    <cfRule type="cellIs" dxfId="9" priority="10" operator="equal">
      <formula>""</formula>
    </cfRule>
  </conditionalFormatting>
  <conditionalFormatting sqref="A140:A143">
    <cfRule type="cellIs" dxfId="8" priority="9" operator="equal">
      <formula>""</formula>
    </cfRule>
  </conditionalFormatting>
  <conditionalFormatting sqref="A146:A149 A154:A157">
    <cfRule type="cellIs" dxfId="7" priority="8" operator="equal">
      <formula>""</formula>
    </cfRule>
  </conditionalFormatting>
  <conditionalFormatting sqref="A159:A163">
    <cfRule type="cellIs" dxfId="6" priority="7" operator="equal">
      <formula>""</formula>
    </cfRule>
  </conditionalFormatting>
  <conditionalFormatting sqref="A166:A167">
    <cfRule type="cellIs" dxfId="5" priority="6" operator="equal">
      <formula>""</formula>
    </cfRule>
  </conditionalFormatting>
  <conditionalFormatting sqref="A189:A193">
    <cfRule type="cellIs" dxfId="4" priority="1" operator="equal">
      <formula>""</formula>
    </cfRule>
  </conditionalFormatting>
  <conditionalFormatting sqref="C172:C175">
    <cfRule type="cellIs" dxfId="3" priority="4" operator="equal">
      <formula>"manuell"</formula>
    </cfRule>
  </conditionalFormatting>
  <conditionalFormatting sqref="C1:D1 C27 D54:D56 C76:D136 C140:C145 C148:C158 C160:C165 C189:C191 C195:J199 C219:C1048576">
    <cfRule type="cellIs" dxfId="2" priority="15" operator="equal">
      <formula>"manuell"</formula>
    </cfRule>
  </conditionalFormatting>
  <conditionalFormatting sqref="D26">
    <cfRule type="cellIs" dxfId="1" priority="16" operator="equal">
      <formula>"nicht abgedeckt"</formula>
    </cfRule>
  </conditionalFormatting>
  <conditionalFormatting sqref="D26:D28 D48 D51:D52 D60 D66:D73 D140:D154">
    <cfRule type="cellIs" dxfId="0" priority="20" operator="equal">
      <formula>"manuell"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C15"/>
  <sheetViews>
    <sheetView tabSelected="1" zoomScale="160" zoomScaleNormal="160" workbookViewId="0">
      <selection activeCell="C6" sqref="C6"/>
    </sheetView>
  </sheetViews>
  <sheetFormatPr baseColWidth="10" defaultRowHeight="14.25" x14ac:dyDescent="0.45"/>
  <cols>
    <col min="2" max="2" width="48.796875" customWidth="1"/>
    <col min="3" max="3" width="23.33203125" customWidth="1"/>
  </cols>
  <sheetData>
    <row r="1" spans="1:3" x14ac:dyDescent="0.45">
      <c r="A1" s="11" t="s">
        <v>178</v>
      </c>
      <c r="B1" s="61" t="s">
        <v>277</v>
      </c>
      <c r="C1" s="61" t="s">
        <v>278</v>
      </c>
    </row>
    <row r="3" spans="1:3" x14ac:dyDescent="0.45">
      <c r="A3">
        <v>2</v>
      </c>
      <c r="B3" t="s">
        <v>179</v>
      </c>
    </row>
    <row r="4" spans="1:3" x14ac:dyDescent="0.45">
      <c r="A4">
        <v>1</v>
      </c>
      <c r="B4" t="s">
        <v>180</v>
      </c>
    </row>
    <row r="5" spans="1:3" x14ac:dyDescent="0.45">
      <c r="A5">
        <v>0</v>
      </c>
      <c r="C5" s="62" t="s">
        <v>281</v>
      </c>
    </row>
    <row r="6" spans="1:3" x14ac:dyDescent="0.45">
      <c r="A6">
        <v>-1</v>
      </c>
      <c r="B6" t="s">
        <v>181</v>
      </c>
      <c r="C6" s="60" t="s">
        <v>276</v>
      </c>
    </row>
    <row r="7" spans="1:3" x14ac:dyDescent="0.45">
      <c r="A7">
        <v>-2</v>
      </c>
      <c r="B7" s="60" t="s">
        <v>279</v>
      </c>
    </row>
    <row r="8" spans="1:3" x14ac:dyDescent="0.45">
      <c r="A8" t="s">
        <v>182</v>
      </c>
    </row>
    <row r="9" spans="1:3" x14ac:dyDescent="0.45">
      <c r="A9" s="60" t="s">
        <v>280</v>
      </c>
    </row>
    <row r="11" spans="1:3" x14ac:dyDescent="0.45">
      <c r="A11" t="s">
        <v>183</v>
      </c>
    </row>
    <row r="12" spans="1:3" x14ac:dyDescent="0.45">
      <c r="B12" t="s">
        <v>184</v>
      </c>
    </row>
    <row r="13" spans="1:3" x14ac:dyDescent="0.45">
      <c r="B13" t="s">
        <v>185</v>
      </c>
    </row>
    <row r="14" spans="1:3" x14ac:dyDescent="0.45">
      <c r="B14" t="s">
        <v>186</v>
      </c>
    </row>
    <row r="15" spans="1:3" x14ac:dyDescent="0.45">
      <c r="A15" s="12" t="s">
        <v>187</v>
      </c>
    </row>
  </sheetData>
  <hyperlinks>
    <hyperlink ref="A15" r:id="rId1" display="Wikipedia (2026)" xr:uid="{D62AB9EB-D87E-47CE-A8F5-08F7E0C2AB4F}"/>
  </hyperlinks>
  <pageMargins left="0.7" right="0.7" top="0.78740157499999996" bottom="0.78740157499999996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B3" sqref="A3:XFD3"/>
    </sheetView>
  </sheetViews>
  <sheetFormatPr baseColWidth="10" defaultRowHeight="14.25" x14ac:dyDescent="0.45"/>
  <cols>
    <col min="1" max="1" width="98.9296875" style="7" customWidth="1"/>
  </cols>
  <sheetData>
    <row r="1" spans="1:1" ht="42.75" x14ac:dyDescent="0.45">
      <c r="A1" s="7" t="s">
        <v>188</v>
      </c>
    </row>
    <row r="2" spans="1:1" ht="28.5" x14ac:dyDescent="0.45">
      <c r="A2" s="7" t="s">
        <v>175</v>
      </c>
    </row>
    <row r="3" spans="1:1" ht="28.5" x14ac:dyDescent="0.45">
      <c r="A3" s="7" t="s">
        <v>189</v>
      </c>
    </row>
    <row r="4" spans="1:1" ht="28.5" x14ac:dyDescent="0.45">
      <c r="A4" s="7" t="s">
        <v>174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2026-10-12T12:58:04Z</dcterms:modified>
</cp:coreProperties>
</file>