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github\a11y-best-practices\test-automation\"/>
    </mc:Choice>
  </mc:AlternateContent>
  <xr:revisionPtr revIDLastSave="0" documentId="13_ncr:1_{9D3D2794-F183-4BBF-B234-041209D3FC61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Foreword" sheetId="1" r:id="rId1"/>
    <sheet name="Web" sheetId="21" r:id="rId2"/>
    <sheet name="Android" sheetId="23" r:id="rId3"/>
    <sheet name="iOS" sheetId="22" r:id="rId4"/>
    <sheet name="HdM Scale" sheetId="20" r:id="rId5"/>
    <sheet name="References" sheetId="19" r:id="rId6"/>
  </sheets>
  <definedNames>
    <definedName name="_xlnm._FilterDatabase" localSheetId="2" hidden="1">Android!$A$1:$B$217</definedName>
    <definedName name="_xlnm._FilterDatabase" localSheetId="3" hidden="1">iOS!$A$1:$B$217</definedName>
    <definedName name="_xlnm._FilterDatabase" localSheetId="1" hidden="1">Web!$A$1:$C$168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2" i="23" l="1"/>
  <c r="H222" i="23"/>
  <c r="G222" i="23"/>
  <c r="F222" i="23"/>
  <c r="E222" i="23"/>
  <c r="D222" i="23"/>
  <c r="C222" i="23"/>
  <c r="B222" i="23"/>
  <c r="I221" i="23"/>
  <c r="H221" i="23"/>
  <c r="G221" i="23"/>
  <c r="F221" i="23"/>
  <c r="E221" i="23"/>
  <c r="D221" i="23"/>
  <c r="C221" i="23"/>
  <c r="B221" i="23"/>
  <c r="I220" i="23"/>
  <c r="H220" i="23"/>
  <c r="G220" i="23"/>
  <c r="F220" i="23"/>
  <c r="E220" i="23"/>
  <c r="D220" i="23"/>
  <c r="C220" i="23"/>
  <c r="B220" i="23"/>
  <c r="I219" i="23"/>
  <c r="H219" i="23"/>
  <c r="G219" i="23"/>
  <c r="F219" i="23"/>
  <c r="E219" i="23"/>
  <c r="D219" i="23"/>
  <c r="C219" i="23"/>
  <c r="B219" i="23"/>
  <c r="I218" i="23"/>
  <c r="H218" i="23"/>
  <c r="G218" i="23"/>
  <c r="F218" i="23"/>
  <c r="E218" i="23"/>
  <c r="D218" i="23"/>
  <c r="C218" i="23"/>
  <c r="B218" i="23"/>
  <c r="B223" i="23" s="1"/>
  <c r="B224" i="23" s="1"/>
  <c r="I222" i="22"/>
  <c r="H222" i="22"/>
  <c r="G222" i="22"/>
  <c r="F222" i="22"/>
  <c r="E222" i="22"/>
  <c r="D222" i="22"/>
  <c r="C222" i="22"/>
  <c r="I220" i="22"/>
  <c r="H220" i="22"/>
  <c r="G220" i="22"/>
  <c r="F220" i="22"/>
  <c r="E220" i="22"/>
  <c r="D220" i="22"/>
  <c r="C220" i="22"/>
  <c r="B222" i="22"/>
  <c r="I221" i="22"/>
  <c r="H221" i="22"/>
  <c r="G221" i="22"/>
  <c r="F221" i="22"/>
  <c r="E221" i="22"/>
  <c r="D221" i="22"/>
  <c r="C221" i="22"/>
  <c r="B221" i="22"/>
  <c r="B220" i="22"/>
  <c r="I219" i="22"/>
  <c r="H219" i="22"/>
  <c r="G219" i="22"/>
  <c r="F219" i="22"/>
  <c r="E219" i="22"/>
  <c r="D219" i="22"/>
  <c r="C219" i="22"/>
  <c r="B219" i="22"/>
  <c r="I218" i="22"/>
  <c r="H218" i="22"/>
  <c r="G218" i="22"/>
  <c r="F218" i="22"/>
  <c r="E218" i="22"/>
  <c r="D218" i="22"/>
  <c r="C218" i="22"/>
  <c r="B218" i="22"/>
  <c r="B223" i="22" s="1"/>
  <c r="B224" i="22" s="1"/>
  <c r="K169" i="21"/>
  <c r="L169" i="21"/>
  <c r="M169" i="21"/>
  <c r="M174" i="21" s="1"/>
  <c r="K170" i="21"/>
  <c r="L170" i="21"/>
  <c r="M170" i="21"/>
  <c r="K172" i="21"/>
  <c r="L172" i="21"/>
  <c r="M172" i="21"/>
  <c r="K174" i="21"/>
  <c r="L174" i="21"/>
  <c r="K175" i="21"/>
  <c r="L175" i="21"/>
  <c r="M175" i="21"/>
  <c r="D169" i="21"/>
  <c r="G169" i="21"/>
  <c r="H169" i="21"/>
  <c r="I169" i="21"/>
  <c r="J169" i="21"/>
  <c r="E169" i="21"/>
  <c r="F169" i="21"/>
  <c r="D170" i="21"/>
  <c r="G170" i="21"/>
  <c r="H170" i="21"/>
  <c r="I170" i="21"/>
  <c r="J170" i="21"/>
  <c r="E170" i="21"/>
  <c r="F170" i="21"/>
  <c r="D172" i="21"/>
  <c r="G172" i="21"/>
  <c r="H172" i="21"/>
  <c r="I172" i="21"/>
  <c r="J172" i="21"/>
  <c r="E172" i="21"/>
  <c r="F172" i="21"/>
  <c r="F174" i="21" s="1"/>
  <c r="H174" i="21"/>
  <c r="I174" i="21"/>
  <c r="J174" i="21"/>
  <c r="H175" i="21"/>
  <c r="I175" i="21"/>
  <c r="J175" i="21"/>
  <c r="B173" i="21"/>
  <c r="C172" i="21"/>
  <c r="B172" i="21"/>
  <c r="B171" i="21"/>
  <c r="C170" i="21"/>
  <c r="B170" i="21"/>
  <c r="C169" i="21"/>
  <c r="B169" i="21"/>
  <c r="E175" i="21" l="1"/>
  <c r="D174" i="21"/>
  <c r="D175" i="21"/>
  <c r="I223" i="23"/>
  <c r="I224" i="23"/>
  <c r="H223" i="23"/>
  <c r="H224" i="23"/>
  <c r="G224" i="23"/>
  <c r="G223" i="23"/>
  <c r="F224" i="23"/>
  <c r="F223" i="23"/>
  <c r="E224" i="23"/>
  <c r="E223" i="23"/>
  <c r="D224" i="23"/>
  <c r="D223" i="23"/>
  <c r="C224" i="23"/>
  <c r="C223" i="23"/>
  <c r="I224" i="22"/>
  <c r="I223" i="22"/>
  <c r="H223" i="22"/>
  <c r="H224" i="22"/>
  <c r="G224" i="22"/>
  <c r="G223" i="22"/>
  <c r="F224" i="22"/>
  <c r="F223" i="22"/>
  <c r="E224" i="22"/>
  <c r="E223" i="22"/>
  <c r="D224" i="22"/>
  <c r="D223" i="22"/>
  <c r="C224" i="22"/>
  <c r="C223" i="22"/>
  <c r="F175" i="21"/>
  <c r="E174" i="21"/>
  <c r="G174" i="21"/>
  <c r="G175" i="21"/>
  <c r="B174" i="21"/>
  <c r="B175" i="21" s="1"/>
  <c r="C175" i="21"/>
  <c r="C174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Gottfried Zimmermann</author>
    <author>tc={DF04F804-CA5D-457D-91C0-036EC37BBEC4}</author>
  </authors>
  <commentList>
    <comment ref="A1" authorId="0" shapeId="0" xr:uid="{6117CE56-4198-4862-A74E-673F452AA1E0}">
      <text>
        <r>
          <rPr>
            <b/>
            <sz val="9"/>
            <color indexed="81"/>
            <rFont val="Segoe UI"/>
            <family val="2"/>
          </rPr>
          <t>https://www.etsi.org/deliver/etsi_en/301500_301599/301549/04.01.00_30/en_301549v040100va.pdf</t>
        </r>
      </text>
    </comment>
    <comment ref="A38" authorId="0" shapeId="0" xr:uid="{7709ABEF-3B3C-477B-9713-F830E16DD6DB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min. 3 x 30 characters per second</t>
        </r>
      </text>
    </comment>
    <comment ref="G53" authorId="0" shapeId="0" xr:uid="{13FBAA88-DC05-4D6D-928E-322395C9DDA6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Wrong mapping - should be 9.1.2.2</t>
        </r>
      </text>
    </comment>
    <comment ref="B66" authorId="1" shapeId="0" xr:uid="{DF04F804-CA5D-457D-91C0-036EC37BBEC4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In WAD ausgenommen
</t>
      </text>
    </comment>
    <comment ref="B164" authorId="0" shapeId="0" xr:uid="{4661A8DC-EB53-4730-9476-B1F48D3A5A6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Hier werden Ausnahmen aufgeführt</t>
        </r>
      </text>
    </comment>
    <comment ref="B165" authorId="0" shapeId="0" xr:uid="{B638E973-C4A8-4A5F-B8FB-36ABBEBF7BD5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One accessible version is sufficient.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Gottfried Zimmermann</author>
  </authors>
  <commentList>
    <comment ref="A1" authorId="0" shapeId="0" xr:uid="{79528C26-3B65-46F5-82DC-1AE9C7E3124F}">
      <text>
        <r>
          <rPr>
            <b/>
            <sz val="9"/>
            <color indexed="81"/>
            <rFont val="Segoe UI"/>
            <family val="2"/>
          </rPr>
          <t>https://www.etsi.org/deliver/etsi_en/301500_301599/301549/04.01.00_30/en_301549v040100va.pdf</t>
        </r>
      </text>
    </comment>
    <comment ref="A58" authorId="0" shapeId="0" xr:uid="{BB07B6F7-40AD-4995-A813-4C198E7FA320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min. 3 x 30 characters per second</t>
        </r>
      </text>
    </comment>
    <comment ref="B215" authorId="0" shapeId="0" xr:uid="{C1A3F551-700C-4AEB-8F25-C5D39A43BD8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Hier werden Ausnahmen aufgeführt</t>
        </r>
      </text>
    </comment>
    <comment ref="B216" authorId="0" shapeId="0" xr:uid="{62663C03-3429-4A6A-B4E8-731FCEC45E0D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One accessible version is sufficient.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Gottfried Zimmermann</author>
  </authors>
  <commentList>
    <comment ref="A1" authorId="0" shapeId="0" xr:uid="{1099D877-2AAD-4730-9C7B-E1939D707F33}">
      <text>
        <r>
          <rPr>
            <b/>
            <sz val="9"/>
            <color indexed="81"/>
            <rFont val="Segoe UI"/>
            <family val="2"/>
          </rPr>
          <t>https://www.etsi.org/deliver/etsi_en/301500_301599/301549/04.01.00_30/en_301549v040100va.pdf</t>
        </r>
      </text>
    </comment>
    <comment ref="A58" authorId="0" shapeId="0" xr:uid="{22158999-EB06-44EB-9867-0CAC93F2E8E7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min. 3 x 30 characters per second</t>
        </r>
      </text>
    </comment>
    <comment ref="B215" authorId="0" shapeId="0" xr:uid="{4CB4F4C3-7B27-4A7E-982B-336E55391A8A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Hier werden Ausnahmen aufgeführt</t>
        </r>
      </text>
    </comment>
    <comment ref="B216" authorId="0" shapeId="0" xr:uid="{2107032E-BC1C-472C-B064-84D8DFE75893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One accessible version is sufficient.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Gottfried Zimmermann</author>
  </authors>
  <commentList>
    <comment ref="C5" authorId="0" shapeId="0" xr:uid="{4340225E-0A54-4AFE-B75A-83F4074D0022}">
      <text>
        <r>
          <rPr>
            <b/>
            <sz val="9"/>
            <color indexed="81"/>
            <rFont val="Segoe UI"/>
            <family val="2"/>
          </rPr>
          <t>Gottfried Zimmermann:</t>
        </r>
        <r>
          <rPr>
            <sz val="9"/>
            <color indexed="81"/>
            <rFont val="Segoe UI"/>
            <family val="2"/>
          </rPr>
          <t xml:space="preserve">
True negatives are ignored for the purpose of averaging over multiple instances of criteria applications.</t>
        </r>
      </text>
    </comment>
  </commentList>
</comments>
</file>

<file path=xl/sharedStrings.xml><?xml version="1.0" encoding="utf-8"?>
<sst xmlns="http://schemas.openxmlformats.org/spreadsheetml/2006/main" count="1505" uniqueCount="405">
  <si>
    <t>shall</t>
  </si>
  <si>
    <t>5.2 Activation of accessibility features</t>
  </si>
  <si>
    <t>5.3 Biometrics</t>
  </si>
  <si>
    <t>5.4 Preservation of accessibility information during conversion</t>
  </si>
  <si>
    <t>5.6.1 Tactile or auditory status</t>
  </si>
  <si>
    <t>5.6.2 Visual status</t>
  </si>
  <si>
    <t>5.7 Key repeat</t>
  </si>
  <si>
    <t>5.8 Double-strike key acceptance</t>
  </si>
  <si>
    <t>5.9 Simultaneous user actions</t>
  </si>
  <si>
    <t>5.10.1 Content technology</t>
  </si>
  <si>
    <t xml:space="preserve">5.10.2 Accessible content creation </t>
  </si>
  <si>
    <t>5.10.3 Preservation of accessibility information in transformations</t>
  </si>
  <si>
    <t>5.10.4 Repair assistance</t>
  </si>
  <si>
    <t>5.10.5 Templates</t>
  </si>
  <si>
    <t xml:space="preserve">6.0.2 Communication client </t>
  </si>
  <si>
    <t>6.0.3 Communication system</t>
  </si>
  <si>
    <t>6.0.4 System connecting to another communication system</t>
  </si>
  <si>
    <t>6.0.5 System with roaming visiting client</t>
  </si>
  <si>
    <t>6.0.6 Client in emergency communications</t>
  </si>
  <si>
    <t xml:space="preserve">6.0.7 Emergency communications </t>
  </si>
  <si>
    <t>6.0.8 System with roaming visiting client in an emergency</t>
  </si>
  <si>
    <t>6.0.9 System with client in emergency visiting another country</t>
  </si>
  <si>
    <t>6.1.1 Voice communication interoperability</t>
  </si>
  <si>
    <t xml:space="preserve">6.1.2 Audio bandwidth for capture and presentation for voice communication </t>
  </si>
  <si>
    <t>6.1.3 Audio presentation in attached listening devices for voice communication (recommendation)</t>
  </si>
  <si>
    <t>6.1.4 Synchronization of subtitles (recommendation)</t>
  </si>
  <si>
    <t>6.2.1.1 RTT functionality</t>
  </si>
  <si>
    <t>6.2.1.2 Concurrent voice and RTT</t>
  </si>
  <si>
    <t>6.2.1.3 Single user action</t>
  </si>
  <si>
    <t>6.2.2.1 Distinguishable display</t>
  </si>
  <si>
    <t>6.2.2.2 Active communicator indication</t>
  </si>
  <si>
    <t>6.2.2.3 Indication of audio with RTT</t>
  </si>
  <si>
    <t>6.2.2.4 Presentation of relative time order of text</t>
  </si>
  <si>
    <t>6.2.2.5 Review of RTT communication contents</t>
  </si>
  <si>
    <t>6.2.3 DTMF touch-tone generation during RTT operations</t>
  </si>
  <si>
    <t>6.2.4 RTT responsiveness</t>
  </si>
  <si>
    <t>6.2.5 Adding and erasing of RTT input</t>
  </si>
  <si>
    <t>6.2.6 Processing rate of RTT</t>
  </si>
  <si>
    <t>6.2.7 Character representation</t>
  </si>
  <si>
    <t>6.2.8 RTT input methods</t>
  </si>
  <si>
    <t>6.2.9 RTT media establishment and use</t>
  </si>
  <si>
    <t>6.3 Caller ID</t>
  </si>
  <si>
    <t>6.4 Alternatives to voice-based services</t>
  </si>
  <si>
    <t>6.5.2 Resolution</t>
  </si>
  <si>
    <t>6.5.3 Frame rate</t>
  </si>
  <si>
    <t>6.5.4 Synchronization between audio and video</t>
  </si>
  <si>
    <t>6.5.5 Indicator of audio with video</t>
  </si>
  <si>
    <t>6.6 Alternatives to video-based services (recommendation)</t>
  </si>
  <si>
    <t>6.7.1 Total conversation provision</t>
  </si>
  <si>
    <t>6.7.2 Total conversation interoperability</t>
  </si>
  <si>
    <t>7.1.1 Subtitle playback</t>
  </si>
  <si>
    <t>7.1.2 Subtitle synchronization</t>
  </si>
  <si>
    <t>7.1.3 Preservation of subtitles</t>
  </si>
  <si>
    <t xml:space="preserve">7.1.4 Subtitle characteristics </t>
  </si>
  <si>
    <t>7.1.5 Spoken subtitles</t>
  </si>
  <si>
    <t>7.2.1 Audio description playback</t>
  </si>
  <si>
    <t>7.2.2 Audio description synchronization</t>
  </si>
  <si>
    <t>7.2.3 Preservation of audio description</t>
  </si>
  <si>
    <t>7.3 User control of audiovisual accessibility features</t>
  </si>
  <si>
    <t>9.1.1.1 Non-text content</t>
  </si>
  <si>
    <t>9.1.2.1 Audio-only and video-only (pre-recorded)</t>
  </si>
  <si>
    <t>9.1.2.2 Subtitles (pre-recorded)</t>
  </si>
  <si>
    <t>9.1.2.3 Audio description or media alternative (pre-recorded)</t>
  </si>
  <si>
    <t>9.1.2.4 Subtitles (live)</t>
  </si>
  <si>
    <t>9.1.2.5 Audio description (pre-recorded)</t>
  </si>
  <si>
    <t>9.1.3.1 Info and relationships</t>
  </si>
  <si>
    <t>9.1.3.2 Meaningful sequence</t>
  </si>
  <si>
    <t>9.1.3.3 Sensory characteristics</t>
  </si>
  <si>
    <t>9.1.3.4 Orientation</t>
  </si>
  <si>
    <t>9.1.3.5 Identify input purpose</t>
  </si>
  <si>
    <t>9.1.4.1 Use of colour</t>
  </si>
  <si>
    <t>9.1.4.2 Audio control</t>
  </si>
  <si>
    <t>9.1.4.3 Contrast (minimum)</t>
  </si>
  <si>
    <t>9.1.4.4 Resize text</t>
  </si>
  <si>
    <t>9.1.4.5 Images of text</t>
  </si>
  <si>
    <t>9.1.4.10 Reflow</t>
  </si>
  <si>
    <t>9.1.4.11 Non-text contrast</t>
  </si>
  <si>
    <t>9.1.4.12 Text spacing</t>
  </si>
  <si>
    <t>9.1.4.13 Content on hover or focus</t>
  </si>
  <si>
    <t>9.2.1.1 Keyboard</t>
  </si>
  <si>
    <t>9.2.1.2 No keyboard trap</t>
  </si>
  <si>
    <t>9.2.1.4 Character key shortcuts</t>
  </si>
  <si>
    <t>9.2.2.1 Timing adjustable</t>
  </si>
  <si>
    <t>9.2.2.2 Pause, stop, hide</t>
  </si>
  <si>
    <t>9.2.3.1 Three flashes or below threshold</t>
  </si>
  <si>
    <t>9.2.4.1 Bypass blocks</t>
  </si>
  <si>
    <t>9.2.4.2 Page titled</t>
  </si>
  <si>
    <t>9.2.4.3 Focus order</t>
  </si>
  <si>
    <t>9.2.4.4 Link purpose (in context)</t>
  </si>
  <si>
    <t>9.2.4.5 Multiple ways</t>
  </si>
  <si>
    <t>9.2.4.6 Headings and labels</t>
  </si>
  <si>
    <t>9.2.4.7 Focus visible</t>
  </si>
  <si>
    <t>9.2.4.11 Focus not obscured (minimum)</t>
  </si>
  <si>
    <t>9.2.5.1 Pointer gestures</t>
  </si>
  <si>
    <t>9.2.5.2 Pointer cancellation</t>
  </si>
  <si>
    <t>9.2.5.3 Label in name</t>
  </si>
  <si>
    <t>9.2.5.4 Motion actuation</t>
  </si>
  <si>
    <t>9.2.5.7 Dragging movements</t>
  </si>
  <si>
    <t>9.2.5.8 Target size (minimum)</t>
  </si>
  <si>
    <t>9.3.1.1 Language of page</t>
  </si>
  <si>
    <t>9.3.1.2 Language of parts</t>
  </si>
  <si>
    <t>9.3.2.1 On focus</t>
  </si>
  <si>
    <t>9.3.2.2 On input</t>
  </si>
  <si>
    <t>9.3.2.3 Consistent navigation</t>
  </si>
  <si>
    <t>9.3.2.4 Consistent identification</t>
  </si>
  <si>
    <t>9.3.2.6 Consistent help</t>
  </si>
  <si>
    <t>9.3.3.1 Error identification</t>
  </si>
  <si>
    <t>9.3.3.2 Labels or instructions</t>
  </si>
  <si>
    <t>9.3.3.3 Error suggestion</t>
  </si>
  <si>
    <t>9.3.3.4 Error prevention (legal, financial, data)</t>
  </si>
  <si>
    <t>9.3.3.7 Redundant entry</t>
  </si>
  <si>
    <t>9.3.3.8 Accessible authentication (minimum)</t>
  </si>
  <si>
    <t>9.4.1.2 Name, role, value</t>
  </si>
  <si>
    <t>9.4.1.3 Status messages</t>
  </si>
  <si>
    <t>9.6 WCAG conformance requirements</t>
  </si>
  <si>
    <t>9.7 User preferences for web pages</t>
  </si>
  <si>
    <t>should</t>
  </si>
  <si>
    <t xml:space="preserve">12.1 Accessible information about products </t>
  </si>
  <si>
    <t>12.2 Accessible information about services</t>
  </si>
  <si>
    <t>12.3 Accessibility and compatibility features</t>
  </si>
  <si>
    <t>12.4 Electronic program guides</t>
  </si>
  <si>
    <t>12.5 Electronic program guide display</t>
  </si>
  <si>
    <t>13.1.2.2 Use of the primary user destination address in relayed communications</t>
  </si>
  <si>
    <t>13.1.2.3 Conveying of caller identifier in relayed communications for primary relay users</t>
  </si>
  <si>
    <t>13.1.2.4 Relay service invocation decision in outgoing communications</t>
  </si>
  <si>
    <t>13.1.2.5 Relay service invocation decision in incoming communications</t>
  </si>
  <si>
    <t>13.1.2.6 Relay service support requested by the primary user for emergency communications</t>
  </si>
  <si>
    <t>13.1.3.1 Relaying action in relay service communication</t>
  </si>
  <si>
    <t>13.1.3.2 Media handling in relay service communication</t>
  </si>
  <si>
    <t>13.1.3.3 Relay service support in ICT based conferences</t>
  </si>
  <si>
    <t>13.1.3.4 Relay service support during emergency communications initiated by the PSAP</t>
  </si>
  <si>
    <t>14.2 Special states</t>
  </si>
  <si>
    <t>14.3 One mode</t>
  </si>
  <si>
    <t xml:space="preserve">BITV§4a Gebärdensprache </t>
  </si>
  <si>
    <t>BITV20</t>
  </si>
  <si>
    <t xml:space="preserve">BITV§4b Leichte Sprache </t>
  </si>
  <si>
    <t>BITV§7 Erklärung zur Barrierefreiheit</t>
  </si>
  <si>
    <t>Criteria from EN 301 549 v4.1.0 (2026-06)</t>
  </si>
  <si>
    <t>Source: https://www.etsi.org/deliver/etsi_en/301500_301599/301549/04.01.00_20/en_301549v040100ev.pdf</t>
  </si>
  <si>
    <t>Please do NOT save this file in OpenOffice or LibreOffice - it may get corrupted</t>
  </si>
  <si>
    <t>axe-core</t>
  </si>
  <si>
    <t>Berg (2025)
Kopp (2025)</t>
  </si>
  <si>
    <t>Berg (2025)</t>
  </si>
  <si>
    <t>Frankenfeld (2026)</t>
  </si>
  <si>
    <t>Kopp (2025)
Frankenfeld (2026)</t>
  </si>
  <si>
    <t>Kopp (2025)</t>
  </si>
  <si>
    <t>Caroline Kopp. (2025, Februar 10). Einsatzpotenziale von Large Language Models zur Verbesserung der Barrierefreiheit im automatisierten Website-Testing. Bachelorthesis. https://nbn-resolving.org/urn:nbn:de:bsz:900-opus4-72446</t>
  </si>
  <si>
    <t>Kira Helen Frankenfeld. (2026, Juni 1). KI-gestützte multimodale Prüfmethoden zur automatisierten Barrierefreiheitsprüfung von Webseiten. https://nbn-resolving.org/urn:nbn:de:bsz:900-opus4-73472</t>
  </si>
  <si>
    <t>Röhrle (2026)</t>
  </si>
  <si>
    <t>Self-claim, deque (2026)</t>
  </si>
  <si>
    <t>Value</t>
  </si>
  <si>
    <t>True positive, with correct location information</t>
  </si>
  <si>
    <t>True positive, no or incorrect location information</t>
  </si>
  <si>
    <t>False positive, with relevant location information</t>
  </si>
  <si>
    <t>Factor 0.5 for warnings (rather than errors)</t>
  </si>
  <si>
    <t>In addition, the following relevant confusion matrix scores should be documented:</t>
  </si>
  <si>
    <t>Accuracy</t>
  </si>
  <si>
    <t>Precision</t>
  </si>
  <si>
    <t>F1-Score</t>
  </si>
  <si>
    <t>See Wikipedia (2026). Confusion Matrix</t>
  </si>
  <si>
    <t>Sabrina Berg. (2025, September 29). Large Language Model unterstützte Barrierefreiheitsprüfung für Websites—Analyse und proof of concept. https://nbn-resolving.org/urn:nbn:de:bsz:900-opus4-73046
 * 9.1.1.1: F1-Score=nn; Precision=…; Accuracy; HdM scale=</t>
  </si>
  <si>
    <t>Level in v4.1.0</t>
  </si>
  <si>
    <t>Easy Web Check V1</t>
  </si>
  <si>
    <t>Easy Web Check V2</t>
  </si>
  <si>
    <t>axe Monitoring</t>
  </si>
  <si>
    <t>A11yplan</t>
  </si>
  <si>
    <t>Eye-Able Monitoring</t>
  </si>
  <si>
    <t>Theses at HdM</t>
  </si>
  <si>
    <t> </t>
  </si>
  <si>
    <t>Kalkan (2026): R=1; P=1; F1=1</t>
  </si>
  <si>
    <t>A</t>
  </si>
  <si>
    <t>Images Bookmarklet, Siteimprove Accessibility Checker</t>
  </si>
  <si>
    <t>Kalkan (2026): R=0,5; P=1; F1=0,67</t>
  </si>
  <si>
    <t>AA</t>
  </si>
  <si>
    <t>9.1.2.6 Sign Language (Prerecorded)</t>
  </si>
  <si>
    <t>AAA</t>
  </si>
  <si>
    <t>9.1.2.7 Extended Audio Description (Prerecorded)</t>
  </si>
  <si>
    <t>9.1.2.8 Media Alternative (Prerecorded)</t>
  </si>
  <si>
    <t>9.1.2.9 Audio-only (Live)</t>
  </si>
  <si>
    <t>Autocomplete Attribute Favlet</t>
  </si>
  <si>
    <t>Kalkan (2026): R=0,04; P=1; F1=0,08</t>
  </si>
  <si>
    <t>Kalkan (2026): R=0,28; P=0,58; F1=0,38</t>
  </si>
  <si>
    <t>9.1.3.6 Identify Purpose</t>
  </si>
  <si>
    <t>Web Developer</t>
  </si>
  <si>
    <t>Siteimprove Accessibility Checker</t>
  </si>
  <si>
    <t>Kalkan (2026): R=0,2; P=0,5; F1=0,29</t>
  </si>
  <si>
    <t>WCAG Color Contrast Checker, Siteimprove Accessibility Checker</t>
  </si>
  <si>
    <t>Kalkan (2026): R=0,89; P=1; F1=0,94</t>
  </si>
  <si>
    <t>Kalkan (2026): R=0,84; P=1; F1=0,91</t>
  </si>
  <si>
    <t>Kalkan (2026): R=0,75; P=1; F1=0,86</t>
  </si>
  <si>
    <t>9.1.4.6 Contrast (Enhanced)</t>
  </si>
  <si>
    <t>9.1.4.7 Low or No Background Audio</t>
  </si>
  <si>
    <t>9.1.4.8 Visual Presentation</t>
  </si>
  <si>
    <t>9.1.4.9 Images of Text (No Exception)</t>
  </si>
  <si>
    <t>TPGi Color Contrast Analyser</t>
  </si>
  <si>
    <t>Bookmarklet Textabstände</t>
  </si>
  <si>
    <t>9.2.1.3 Keyboard (No Exception)</t>
  </si>
  <si>
    <t>9.2.2.3 No Timing</t>
  </si>
  <si>
    <t>9.2.2.4 Interruptions</t>
  </si>
  <si>
    <t>9.2.2.5 Re-authenticating</t>
  </si>
  <si>
    <t>"Lang" Bookmarklet</t>
  </si>
  <si>
    <t>9.2.2.6 Timeouts</t>
  </si>
  <si>
    <t>9.2.3.2 Three Flashes</t>
  </si>
  <si>
    <t>9.2.3.3 Animation from Interactions</t>
  </si>
  <si>
    <t>Landmarks</t>
  </si>
  <si>
    <t>taba11y</t>
  </si>
  <si>
    <t>Kalkan (2026): R=0,67; P=0,33; F1=0,44</t>
  </si>
  <si>
    <t>Kalkan (2026): R=0,25; P=1; F1=0,4</t>
  </si>
  <si>
    <t>9.2.4.8 Location</t>
  </si>
  <si>
    <t>9.2.4.9 Link Purpose (Link Only)</t>
  </si>
  <si>
    <t>9.2.4.10 Section Headings</t>
  </si>
  <si>
    <t>9.2.4.12 Focus Not Obscured (Enhanced)</t>
  </si>
  <si>
    <t>9.2.4.13 Focus Appearance</t>
  </si>
  <si>
    <t>9.2.5.5 Target Size (Enhanced)</t>
  </si>
  <si>
    <t>9.2.5.6 Concurrent Input Mechanisms</t>
  </si>
  <si>
    <t>Kalkan (2026): R=0,68; P=1; F1=0,81</t>
  </si>
  <si>
    <t>9.3.1.3 Unusual Words</t>
  </si>
  <si>
    <t>9.3.1.4 Abbreviations</t>
  </si>
  <si>
    <t>9.3.1.5 Reading Level</t>
  </si>
  <si>
    <t>9.3.1.6 Pronunciation</t>
  </si>
  <si>
    <t>9.3.2.5 Change on Request</t>
  </si>
  <si>
    <t>9.3.3.5 Help</t>
  </si>
  <si>
    <t>9.3.3.6 Error Prevention (All)</t>
  </si>
  <si>
    <t>9.3.3.9 Accessible Authentication (Enhanced)</t>
  </si>
  <si>
    <t>Sum for (A)</t>
  </si>
  <si>
    <t>Sum for (AA)</t>
  </si>
  <si>
    <t>Sum for (AAA)</t>
  </si>
  <si>
    <t>Sum for (should)</t>
  </si>
  <si>
    <t>Sum for (shall)</t>
  </si>
  <si>
    <t>WAVE</t>
  </si>
  <si>
    <t>miCheck</t>
  </si>
  <si>
    <t>Accessibility Insights</t>
  </si>
  <si>
    <t>False negative</t>
  </si>
  <si>
    <t>Meaning wrt positives</t>
  </si>
  <si>
    <t>Meaning wrt negatives</t>
  </si>
  <si>
    <t>False positive, with no or irrelevant/false location information</t>
  </si>
  <si>
    <t>This scale is understood as interval scale, i.e. arithmetic means can be computed.</t>
  </si>
  <si>
    <t>(True negatives)</t>
  </si>
  <si>
    <t>Ahmet Kalkan. (2026, Juli 7). Eine Vergleichsstudie über Monitoring-Systeme zur Überprüfung von Webseiten auf Barrierefreiheit. Bachelorthesis [Bachelorthesis]. Hochschule der Medien Stuttgart. https://nbn-resolving.org/urn:nbn:de:bsz:900-opus4-73568</t>
  </si>
  <si>
    <t>Easy-Web-Check + Innovation Project</t>
  </si>
  <si>
    <t>Röhrle (2027)?</t>
  </si>
  <si>
    <t>6.2.10 RTT interoperability</t>
  </si>
  <si>
    <t>6.5.6 Indication of all active communication participants</t>
  </si>
  <si>
    <t>English titles v4.1.1 2026-09</t>
  </si>
  <si>
    <t>axe devtools for mobile</t>
  </si>
  <si>
    <t>Xcode</t>
  </si>
  <si>
    <t>abra.ai</t>
  </si>
  <si>
    <t>Level in v4.1.1</t>
  </si>
  <si>
    <t>5.1.3.1 Auditory output of visual information</t>
  </si>
  <si>
    <t>5.1.3.2 Auditory output delivery including speech</t>
  </si>
  <si>
    <t>5.1.3.3 Auditory output correlation</t>
  </si>
  <si>
    <t>5.1.3.4 Speech output user control</t>
  </si>
  <si>
    <t>5.1.3.5 Speech output automatic interruption</t>
  </si>
  <si>
    <t>5.1.3.6 Auditory output for non-text content</t>
  </si>
  <si>
    <t>5.1.3.7 Auditory output for video information</t>
  </si>
  <si>
    <t>5.1.3.8 Masked entry</t>
  </si>
  <si>
    <t>5.1.3.9 Private access to personal data</t>
  </si>
  <si>
    <t>5.1.3.10 Non-interfering audio output</t>
  </si>
  <si>
    <t>5.1.3.11 Private listening volume</t>
  </si>
  <si>
    <t>5.1.3.12 Speaker volume</t>
  </si>
  <si>
    <t>5.1.3.13 Volume reset</t>
  </si>
  <si>
    <t>5.1.3.14 Spoken languages</t>
  </si>
  <si>
    <t>5.1.3.15 Non-visual error identification</t>
  </si>
  <si>
    <t>5.1.3.16 Receipts, tickets, and transactional outputs</t>
  </si>
  <si>
    <t>5.1.4 Functionality closed to text enlargement</t>
  </si>
  <si>
    <t>5.1.5 Visual output for auditory information</t>
  </si>
  <si>
    <t>5.1.6.1 Closed functionality (keyboard)</t>
  </si>
  <si>
    <t>5.1.6.2 Input focus</t>
  </si>
  <si>
    <t>5.1.7 Access without speech</t>
  </si>
  <si>
    <t>5.1.8 Identify input purpose (closed functionality)</t>
  </si>
  <si>
    <t>10.1.1.1 Non-text content</t>
  </si>
  <si>
    <t>10.1.2.1 Audio-only and video-only (pre-recorded)</t>
  </si>
  <si>
    <t>10.1.2.2 Subtitles (pre-recorded)</t>
  </si>
  <si>
    <t>10.1.2.3 Audio description or media alternative (pre-recorded)</t>
  </si>
  <si>
    <t>10.1.2.5 Audio description (pre-recorded)</t>
  </si>
  <si>
    <t>10.1.3.1 Info and relationships</t>
  </si>
  <si>
    <t>10.1.3.2 Meaningful sequence</t>
  </si>
  <si>
    <t>10.1.3.3 Sensory characteristics</t>
  </si>
  <si>
    <t>10.1.3.4 Orientation</t>
  </si>
  <si>
    <t>10.1.3.5 Identify input purpose</t>
  </si>
  <si>
    <t>10.1.4.1 Use of colour</t>
  </si>
  <si>
    <t>10.1.4.2 Audio control</t>
  </si>
  <si>
    <t>10.1.4.3 Contrast (minimum)</t>
  </si>
  <si>
    <t>10.1.4.4 Resize text</t>
  </si>
  <si>
    <t>10.1.4.5 Images of text</t>
  </si>
  <si>
    <t>10.1.4.10 Reflow</t>
  </si>
  <si>
    <t>10.1.4.11 Non-text contrast</t>
  </si>
  <si>
    <t>10.1.4.12 Text spacing</t>
  </si>
  <si>
    <t>10.1.4.13 Content on hover or focus</t>
  </si>
  <si>
    <t>10.2.1.1 Keyboard</t>
  </si>
  <si>
    <t>10.2.1.2 No keyboard trap</t>
  </si>
  <si>
    <t>10.2.1.4 Character key shortcuts</t>
  </si>
  <si>
    <t>10.2.2.1 Timing adjustable</t>
  </si>
  <si>
    <t>10.2.2.2 Pause, stop, hide</t>
  </si>
  <si>
    <t>10.2.3.1 Three flashes or below threshold</t>
  </si>
  <si>
    <t>10.2.4.2 Non-web document titled</t>
  </si>
  <si>
    <t>10.2.4.3 Focus order</t>
  </si>
  <si>
    <t>10.2.4.4 Link purpose (in context)</t>
  </si>
  <si>
    <t>10.2.4.6 Headings and labels</t>
  </si>
  <si>
    <t>10.2.4.7 Focus visible</t>
  </si>
  <si>
    <t>10.2.4.11 Focus not obscured (minimum)</t>
  </si>
  <si>
    <t>10.2.5.1 Pointer gestures</t>
  </si>
  <si>
    <t>10.2.5.2 Pointer cancellation</t>
  </si>
  <si>
    <t>10.2.5.3 Label in name</t>
  </si>
  <si>
    <t>10.2.5.4 Motion actuation</t>
  </si>
  <si>
    <t>10.2.5.7 Dragging movements</t>
  </si>
  <si>
    <t>10.2.5.8 Target size (minimum)</t>
  </si>
  <si>
    <t>10.3.1.1 Language of non-web document</t>
  </si>
  <si>
    <t>10.3.1.2 Language of parts</t>
  </si>
  <si>
    <t>10.3.2.1 On focus</t>
  </si>
  <si>
    <t>10.3.2.2 On input</t>
  </si>
  <si>
    <t>10.3.2.3 Consistent navigation</t>
  </si>
  <si>
    <t>10.3.2.4 Consistent identification</t>
  </si>
  <si>
    <t>10.3.2.6 Consistent help</t>
  </si>
  <si>
    <t>10.3.3.1 Error identification</t>
  </si>
  <si>
    <t>10.3.3.2 Labels or instructions</t>
  </si>
  <si>
    <t>10.3.3.3 Error suggestion</t>
  </si>
  <si>
    <t>10.3.3.4 Error prevention (legal, financial, data)</t>
  </si>
  <si>
    <t>10.3.3.7 Redundant entry</t>
  </si>
  <si>
    <t>10.3.3.8 Accessible authentication (minimum)</t>
  </si>
  <si>
    <t>10.4.1.2 Name, role, value</t>
  </si>
  <si>
    <t>10.4.1.3 Status messages</t>
  </si>
  <si>
    <t>10.7 User preferences for non-web documents</t>
  </si>
  <si>
    <t>11.1.1.1 Non-text content</t>
  </si>
  <si>
    <t>11.1.2.1 Audio-only and video-only (pre-recorded)</t>
  </si>
  <si>
    <t>11.1.2.2 Subtitles (pre-recorded)</t>
  </si>
  <si>
    <t>11.1.2.3 Audio description or media alternative (pre-recorded)</t>
  </si>
  <si>
    <t>11.1.2.5 Audio description (pre-recorded)</t>
  </si>
  <si>
    <t>11.1.3.1 Info and relationships</t>
  </si>
  <si>
    <t>11.1.3.2 Meaningful sequence</t>
  </si>
  <si>
    <t>11.1.3.3 Sensory characteristics</t>
  </si>
  <si>
    <t>11.1.3.4 Orientation</t>
  </si>
  <si>
    <t>11.1.3.5 Identify input purpose</t>
  </si>
  <si>
    <t>11.1.4.1 Use of colour</t>
  </si>
  <si>
    <t>11.1.4.2 Audio control</t>
  </si>
  <si>
    <t>11.1.4.3 Contrast (minimum)</t>
  </si>
  <si>
    <t>11.1.4.4 Resize text</t>
  </si>
  <si>
    <t>11.1.4.5 Images of text</t>
  </si>
  <si>
    <t>11.1.4.10 Reflow</t>
  </si>
  <si>
    <t>11.1.4.11 Non-text contrast</t>
  </si>
  <si>
    <t>11.1.4.12 Text spacing</t>
  </si>
  <si>
    <t>11.1.4.13 Content on hover or focus</t>
  </si>
  <si>
    <t>11.2.1.1 Keyboard</t>
  </si>
  <si>
    <t>11.2.1.2 No keyboard trap</t>
  </si>
  <si>
    <t xml:space="preserve">11.2.1.4 Character key shortcuts </t>
  </si>
  <si>
    <t>11.2.2.1 Timing adjustable</t>
  </si>
  <si>
    <t>11.2.2.2 Pause, stop, hide</t>
  </si>
  <si>
    <t>11.2.3.1 Three flashes or below threshold</t>
  </si>
  <si>
    <t>11.2.4.2 Non-web software titled</t>
  </si>
  <si>
    <t>11.2.4.3 Focus order</t>
  </si>
  <si>
    <t>11.2.4.4 Link purpose (in context)</t>
  </si>
  <si>
    <t>11.2.4.6 Headings and labels</t>
  </si>
  <si>
    <t>11.2.4.7 Focus visible</t>
  </si>
  <si>
    <t>11.2.4.11 Focus not obscured (minimum)</t>
  </si>
  <si>
    <t>11.2.5.1 Pointer gestures</t>
  </si>
  <si>
    <t>11.2.5.2 Pointer cancellation</t>
  </si>
  <si>
    <t>11.2.5.3 Label in name</t>
  </si>
  <si>
    <t>11.2.5.4 Motion actuation</t>
  </si>
  <si>
    <t>11.2.5.7 Dragging movements</t>
  </si>
  <si>
    <t>11.2.5.8 Target size (minimum)</t>
  </si>
  <si>
    <t>11.3.1.1 Language of non-web software</t>
  </si>
  <si>
    <t>11.3.2.1 On focus</t>
  </si>
  <si>
    <t>11.3.2.2 On input</t>
  </si>
  <si>
    <t>11.3.2.4 Consistent identification</t>
  </si>
  <si>
    <t>11.3.3.1 Error identification</t>
  </si>
  <si>
    <t>11.3.3.2 Labels or instructions</t>
  </si>
  <si>
    <t>11.3.3.3 Error suggestion</t>
  </si>
  <si>
    <t>11.3.3.4 Error prevention (legal, financial, data)</t>
  </si>
  <si>
    <t>11.3.3.7 Redundant entry</t>
  </si>
  <si>
    <t>11.3.3.8 Accessible authentication (minimum)</t>
  </si>
  <si>
    <t>11.4.1.2 Name, role, value</t>
  </si>
  <si>
    <t>11.4.1.3 Status messages</t>
  </si>
  <si>
    <t>11.5.2.1 Platform interoperability with assistive technologies</t>
  </si>
  <si>
    <t>11.5.2.4 Assistive technology</t>
  </si>
  <si>
    <t>11.5.2.5 Object information</t>
  </si>
  <si>
    <t>11.5.2.6 Row, column, and headers</t>
  </si>
  <si>
    <t>11.5.2.7 Values</t>
  </si>
  <si>
    <t>11.5.2.8 Label relationships</t>
  </si>
  <si>
    <t>11.5.2.9 Parent-child relationships</t>
  </si>
  <si>
    <t>11.5.2.10 Text</t>
  </si>
  <si>
    <t>11.5.2.11 List of available actions</t>
  </si>
  <si>
    <t>11.5.2.12 Execution of available actions</t>
  </si>
  <si>
    <t>11.5.2.13 Tracking of focus and selection attributes</t>
  </si>
  <si>
    <t>11.5.2.14 Modification of focus and selection attributes</t>
  </si>
  <si>
    <t>11.5.2.15 Change notification</t>
  </si>
  <si>
    <t>11.5.2.16 Modifications of states and properties</t>
  </si>
  <si>
    <t>11.5.2.17 Modifications of values and text</t>
  </si>
  <si>
    <t>11.6.1 User control of accessibility features</t>
  </si>
  <si>
    <t>11.6.2 No disruption of accessibility features</t>
  </si>
  <si>
    <t>11.7 User preferences</t>
  </si>
  <si>
    <t>not covered</t>
  </si>
  <si>
    <t>manual</t>
  </si>
  <si>
    <t>Bookmarklet "Inhalte gegliedert", Bookmarklet "Lists", Bookmarklet "Tables", Siteimprove Accessibility Checker, manual für Formularfelder</t>
  </si>
  <si>
    <t>Bookmarklet "Inhalte gegliedert", Bookmarklet "Lists", Bookmarklet "Tables", Siteimprove Accessibility Checker, manual</t>
  </si>
  <si>
    <t>Siteimprove Accessibility Checker, Web Developer, manual</t>
  </si>
  <si>
    <t>Siteimprove Accessibility Checker, manual</t>
  </si>
  <si>
    <t>tab11y, manual</t>
  </si>
  <si>
    <t>taba11y, manual</t>
  </si>
  <si>
    <t>Föll (2026):yes</t>
  </si>
  <si>
    <t>Images Bookmarklet, Siteimprove Accessibility Checker (partially checked)</t>
  </si>
  <si>
    <t>manual (partially checked)</t>
  </si>
  <si>
    <t>manual (only presence)</t>
  </si>
  <si>
    <t>Team A</t>
  </si>
  <si>
    <t>Dream Team</t>
  </si>
  <si>
    <t>Serhat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</si>
</sst>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2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65"/>
      <name val="Calibri"/>
      <family val="2"/>
    </font>
    <font>
      <b/>
      <sz val="11"/>
      <color theme="9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806000"/>
      <name val="Calibri"/>
      <family val="2"/>
    </font>
    <font>
      <sz val="11"/>
      <color rgb="FF9C0006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name val="Calibri"/>
      <family val="2"/>
      <scheme val="minor"/>
    </font>
    <font>
      <sz val="11"/>
      <color theme="7" tint="-0.49998474074526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rgb="FFFFC7CE"/>
        <bgColor rgb="FFFFC7CE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5">
    <xf numFmtId="0" fontId="0" fillId="0" borderId="0"/>
    <xf numFmtId="0" fontId="8" fillId="0" borderId="0" applyNumberFormat="0" applyFill="0" applyBorder="0"/>
    <xf numFmtId="0" fontId="13" fillId="0" borderId="0"/>
    <xf numFmtId="9" fontId="13" fillId="0" borderId="0" applyFont="0" applyFill="0" applyBorder="0"/>
    <xf numFmtId="0" fontId="21" fillId="6" borderId="0" applyNumberFormat="0" applyBorder="0"/>
  </cellStyleXfs>
  <cellXfs count="91">
    <xf numFmtId="0" fontId="0" fillId="0" borderId="0" xfId="0"/>
    <xf numFmtId="0" fontId="9" fillId="0" borderId="0" xfId="0" applyFont="1"/>
    <xf numFmtId="0" fontId="10" fillId="0" borderId="0" xfId="0" applyFont="1" applyAlignment="1">
      <alignment horizontal="center" wrapText="1"/>
    </xf>
    <xf numFmtId="0" fontId="0" fillId="0" borderId="3" xfId="0" applyBorder="1" applyAlignment="1">
      <alignment horizontal="center" textRotation="90" wrapText="1"/>
    </xf>
    <xf numFmtId="0" fontId="8" fillId="0" borderId="0" xfId="1" applyAlignment="1">
      <alignment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0" fillId="0" borderId="2" xfId="0" applyBorder="1"/>
    <xf numFmtId="0" fontId="8" fillId="0" borderId="0" xfId="1"/>
    <xf numFmtId="1" fontId="16" fillId="0" borderId="2" xfId="3" applyNumberFormat="1" applyFont="1" applyBorder="1" applyAlignment="1">
      <alignment horizontal="center" textRotation="90" wrapText="1"/>
    </xf>
    <xf numFmtId="1" fontId="16" fillId="0" borderId="3" xfId="3" applyNumberFormat="1" applyFont="1" applyBorder="1" applyAlignment="1">
      <alignment horizontal="center" textRotation="90" wrapText="1"/>
    </xf>
    <xf numFmtId="1" fontId="7" fillId="0" borderId="2" xfId="3" applyNumberFormat="1" applyFont="1" applyFill="1" applyBorder="1" applyAlignment="1">
      <alignment horizontal="center" textRotation="90" wrapText="1"/>
    </xf>
    <xf numFmtId="0" fontId="15" fillId="0" borderId="0" xfId="0" applyFont="1"/>
    <xf numFmtId="0" fontId="7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/>
    <xf numFmtId="0" fontId="7" fillId="0" borderId="0" xfId="2" applyFont="1"/>
    <xf numFmtId="0" fontId="13" fillId="0" borderId="0" xfId="2"/>
    <xf numFmtId="0" fontId="16" fillId="3" borderId="1" xfId="0" applyFont="1" applyFill="1" applyBorder="1" applyAlignment="1">
      <alignment horizontal="left"/>
    </xf>
    <xf numFmtId="0" fontId="7" fillId="0" borderId="0" xfId="0" applyFont="1" applyAlignment="1">
      <alignment wrapText="1"/>
    </xf>
    <xf numFmtId="0" fontId="16" fillId="0" borderId="0" xfId="0" applyFont="1" applyAlignment="1">
      <alignment horizontal="left"/>
    </xf>
    <xf numFmtId="0" fontId="18" fillId="0" borderId="0" xfId="0" applyFont="1"/>
    <xf numFmtId="0" fontId="19" fillId="0" borderId="0" xfId="0" applyFont="1"/>
    <xf numFmtId="0" fontId="12" fillId="0" borderId="0" xfId="0" applyFont="1"/>
    <xf numFmtId="0" fontId="16" fillId="0" borderId="1" xfId="0" applyFont="1" applyBorder="1" applyAlignment="1">
      <alignment horizontal="left"/>
    </xf>
    <xf numFmtId="0" fontId="18" fillId="0" borderId="0" xfId="2" applyFont="1"/>
    <xf numFmtId="0" fontId="16" fillId="2" borderId="0" xfId="0" applyFont="1" applyFill="1" applyAlignment="1">
      <alignment horizontal="left"/>
    </xf>
    <xf numFmtId="0" fontId="16" fillId="4" borderId="1" xfId="0" applyFont="1" applyFill="1" applyBorder="1" applyAlignment="1">
      <alignment horizontal="left"/>
    </xf>
    <xf numFmtId="0" fontId="14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14" fillId="0" borderId="0" xfId="0" applyFont="1" applyAlignment="1">
      <alignment horizontal="left" vertical="center" wrapText="1"/>
    </xf>
    <xf numFmtId="0" fontId="11" fillId="0" borderId="0" xfId="0" applyFont="1"/>
    <xf numFmtId="0" fontId="16" fillId="2" borderId="1" xfId="0" applyFont="1" applyFill="1" applyBorder="1" applyAlignment="1">
      <alignment horizontal="left"/>
    </xf>
    <xf numFmtId="0" fontId="16" fillId="5" borderId="0" xfId="0" applyFont="1" applyFill="1" applyAlignment="1">
      <alignment horizontal="left"/>
    </xf>
    <xf numFmtId="0" fontId="15" fillId="0" borderId="1" xfId="0" applyFont="1" applyBorder="1"/>
    <xf numFmtId="0" fontId="12" fillId="0" borderId="1" xfId="0" applyFont="1" applyBorder="1"/>
    <xf numFmtId="0" fontId="14" fillId="0" borderId="1" xfId="0" applyFont="1" applyBorder="1"/>
    <xf numFmtId="0" fontId="14" fillId="0" borderId="0" xfId="0" applyFont="1"/>
    <xf numFmtId="0" fontId="0" fillId="0" borderId="1" xfId="0" applyBorder="1" applyAlignment="1">
      <alignment horizontal="center"/>
    </xf>
    <xf numFmtId="0" fontId="0" fillId="0" borderId="3" xfId="0" applyBorder="1"/>
    <xf numFmtId="0" fontId="11" fillId="0" borderId="1" xfId="0" applyFont="1" applyBorder="1"/>
    <xf numFmtId="0" fontId="16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2" fillId="0" borderId="3" xfId="0" applyFont="1" applyBorder="1"/>
    <xf numFmtId="0" fontId="20" fillId="0" borderId="2" xfId="0" applyFont="1" applyBorder="1" applyAlignment="1">
      <alignment horizontal="center"/>
    </xf>
    <xf numFmtId="0" fontId="14" fillId="0" borderId="2" xfId="0" applyFont="1" applyBorder="1"/>
    <xf numFmtId="0" fontId="16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1" fontId="6" fillId="0" borderId="2" xfId="3" applyNumberFormat="1" applyFont="1" applyFill="1" applyBorder="1" applyAlignment="1">
      <alignment horizontal="center" textRotation="90" wrapText="1"/>
    </xf>
    <xf numFmtId="0" fontId="5" fillId="0" borderId="0" xfId="0" applyFont="1"/>
    <xf numFmtId="0" fontId="5" fillId="0" borderId="2" xfId="0" applyFont="1" applyBorder="1"/>
    <xf numFmtId="0" fontId="4" fillId="0" borderId="0" xfId="0" applyFont="1"/>
    <xf numFmtId="0" fontId="3" fillId="0" borderId="0" xfId="0" applyFont="1" applyAlignment="1">
      <alignment wrapText="1"/>
    </xf>
    <xf numFmtId="1" fontId="3" fillId="7" borderId="2" xfId="3" applyNumberFormat="1" applyFont="1" applyFill="1" applyBorder="1" applyAlignment="1">
      <alignment horizontal="center" textRotation="90" wrapText="1"/>
    </xf>
    <xf numFmtId="1" fontId="7" fillId="7" borderId="2" xfId="3" applyNumberFormat="1" applyFont="1" applyFill="1" applyBorder="1" applyAlignment="1">
      <alignment horizontal="center" textRotation="90" wrapText="1"/>
    </xf>
    <xf numFmtId="0" fontId="0" fillId="7" borderId="0" xfId="0" applyFill="1"/>
    <xf numFmtId="0" fontId="11" fillId="7" borderId="0" xfId="0" applyFont="1" applyFill="1" applyAlignment="1">
      <alignment horizontal="center" wrapText="1"/>
    </xf>
    <xf numFmtId="0" fontId="15" fillId="7" borderId="0" xfId="0" applyFont="1" applyFill="1" applyAlignment="1">
      <alignment horizontal="center" wrapText="1"/>
    </xf>
    <xf numFmtId="0" fontId="12" fillId="7" borderId="0" xfId="0" applyFont="1" applyFill="1"/>
    <xf numFmtId="0" fontId="15" fillId="7" borderId="0" xfId="0" applyFont="1" applyFill="1" applyAlignment="1">
      <alignment wrapText="1"/>
    </xf>
    <xf numFmtId="0" fontId="12" fillId="7" borderId="0" xfId="0" applyFont="1" applyFill="1" applyAlignment="1">
      <alignment wrapText="1"/>
    </xf>
    <xf numFmtId="0" fontId="15" fillId="7" borderId="0" xfId="0" applyFont="1" applyFill="1" applyAlignment="1">
      <alignment horizontal="center"/>
    </xf>
    <xf numFmtId="0" fontId="16" fillId="7" borderId="4" xfId="0" applyFont="1" applyFill="1" applyBorder="1" applyAlignment="1">
      <alignment horizontal="center"/>
    </xf>
    <xf numFmtId="0" fontId="16" fillId="7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20" fillId="7" borderId="2" xfId="0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2" fillId="0" borderId="1" xfId="0" applyFont="1" applyBorder="1"/>
    <xf numFmtId="0" fontId="19" fillId="0" borderId="0" xfId="0" applyFont="1" applyAlignment="1">
      <alignment wrapText="1"/>
    </xf>
    <xf numFmtId="0" fontId="2" fillId="0" borderId="0" xfId="2" applyFont="1"/>
    <xf numFmtId="0" fontId="19" fillId="0" borderId="0" xfId="2" applyFont="1"/>
    <xf numFmtId="0" fontId="19" fillId="0" borderId="1" xfId="0" applyFont="1" applyBorder="1"/>
    <xf numFmtId="0" fontId="19" fillId="7" borderId="0" xfId="0" applyFont="1" applyFill="1"/>
    <xf numFmtId="0" fontId="9" fillId="0" borderId="2" xfId="0" applyFont="1" applyBorder="1" applyAlignment="1">
      <alignment wrapText="1"/>
    </xf>
    <xf numFmtId="1" fontId="1" fillId="0" borderId="2" xfId="3" applyNumberFormat="1" applyFont="1" applyFill="1" applyBorder="1" applyAlignment="1">
      <alignment horizontal="center" textRotation="90" wrapText="1"/>
    </xf>
    <xf numFmtId="0" fontId="1" fillId="0" borderId="0" xfId="2" applyFont="1"/>
    <xf numFmtId="0" fontId="18" fillId="0" borderId="0" xfId="0" applyFont="1" applyAlignment="1">
      <alignment horizontal="left" vertical="center"/>
    </xf>
    <xf numFmtId="0" fontId="1" fillId="0" borderId="1" xfId="0" applyFont="1" applyBorder="1"/>
    <xf numFmtId="0" fontId="25" fillId="0" borderId="0" xfId="0" applyFont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/>
    </xf>
    <xf numFmtId="0" fontId="11" fillId="7" borderId="0" xfId="0" applyFont="1" applyFill="1" applyAlignment="1">
      <alignment horizontal="center"/>
    </xf>
  </cellXfs>
  <cellStyles count="5">
    <cellStyle name="Link" xfId="1" builtinId="8"/>
    <cellStyle name="Prozent 2" xfId="3" xr:uid="{C7D308EA-F5A0-4B1B-A401-1FFE00438389}"/>
    <cellStyle name="Schlecht 2" xfId="4" xr:uid="{A048F85C-BAC1-409E-B867-86E7A253D553}"/>
    <cellStyle name="Standard" xfId="0" builtinId="0"/>
    <cellStyle name="Standard 2" xfId="2" xr:uid="{00000000-0005-0000-0000-000004000000}"/>
  </cellStyles>
  <dxfs count="23"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ont>
        <color theme="1"/>
      </font>
      <fill>
        <patternFill patternType="solid">
          <fgColor theme="7" tint="0.59996337778862885"/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Invisible" pivot="0" table="0" count="0" xr9:uid="{003BAB69-7210-4DF6-872B-259164A47C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ottfried Zimmermann" id="{E4A97B6F-F8C9-4A40-BC2F-F4281416C5AC}" userId="89dddc6042953ddf" providerId="Windows Live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6" dT="2023-01-05T10:28:01.06" personId="{E4A97B6F-F8C9-4A40-BC2F-F4281416C5AC}" id="{DF04F804-CA5D-457D-91C0-036EC37BBEC4}">
    <text xml:space="preserve">In WAD ausgenommen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tsi.org/deliver/etsi_en/301500_301599/301549/04.01.00_20/en_301549v040100ev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s://en.wikipedia.org/wiki/Confusion_matr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workbookViewId="0">
      <selection activeCell="B5" sqref="B5"/>
    </sheetView>
  </sheetViews>
  <sheetFormatPr baseColWidth="10" defaultColWidth="11.46484375" defaultRowHeight="14.25" x14ac:dyDescent="0.45"/>
  <cols>
    <col min="1" max="1" width="66" customWidth="1"/>
  </cols>
  <sheetData>
    <row r="1" spans="1:1" x14ac:dyDescent="0.45">
      <c r="A1" s="1" t="s">
        <v>137</v>
      </c>
    </row>
    <row r="2" spans="1:1" ht="42.75" x14ac:dyDescent="0.45">
      <c r="A2" s="4" t="s">
        <v>138</v>
      </c>
    </row>
    <row r="5" spans="1:1" x14ac:dyDescent="0.45">
      <c r="A5" s="2" t="s">
        <v>139</v>
      </c>
    </row>
  </sheetData>
  <hyperlinks>
    <hyperlink ref="A2" r:id="rId1" display="Quelle: https://www.etsi.org/deliver/etsi_en/301500_301599/301549/04.01.00_20/en_301549v040100ev.pdf" xr:uid="{89AF71F7-0C6A-426E-BC8D-6C02C41A6142}"/>
  </hyperlinks>
  <pageMargins left="0.7" right="0.7" top="0.78740157500000008" bottom="0.78740157500000008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BFE1-9182-487E-B9F3-380D45B58EC5}">
  <dimension ref="A1:EL175"/>
  <sheetViews>
    <sheetView tabSelected="1" zoomScale="130" zoomScaleNormal="130" workbookViewId="0">
      <pane ySplit="1" topLeftCell="A72" activePane="bottomLeft" state="frozen"/>
      <selection pane="bottomLeft" activeCell="E74" sqref="E74"/>
    </sheetView>
  </sheetViews>
  <sheetFormatPr baseColWidth="10" defaultColWidth="11.46484375" defaultRowHeight="14.25" x14ac:dyDescent="0.45"/>
  <cols>
    <col min="1" max="1" width="46.46484375" customWidth="1"/>
    <col min="2" max="2" width="6" style="17" customWidth="1"/>
    <col min="3" max="3" width="7.86328125" customWidth="1"/>
    <col min="4" max="4" width="7.86328125" style="17" customWidth="1"/>
    <col min="5" max="6" width="11.265625" customWidth="1"/>
    <col min="7" max="8" width="12.46484375" style="5" customWidth="1"/>
    <col min="9" max="9" width="11.265625" style="5" customWidth="1"/>
    <col min="10" max="12" width="11.265625" customWidth="1"/>
  </cols>
  <sheetData>
    <row r="1" spans="1:142" s="9" customFormat="1" ht="185.65" customHeight="1" x14ac:dyDescent="0.45">
      <c r="A1" s="78" t="s">
        <v>243</v>
      </c>
      <c r="B1" s="3" t="s">
        <v>161</v>
      </c>
      <c r="C1" s="11" t="s">
        <v>162</v>
      </c>
      <c r="D1" s="12" t="s">
        <v>163</v>
      </c>
      <c r="E1" s="58" t="s">
        <v>239</v>
      </c>
      <c r="F1" s="59" t="s">
        <v>167</v>
      </c>
      <c r="G1" s="13" t="s">
        <v>164</v>
      </c>
      <c r="H1" s="13" t="s">
        <v>165</v>
      </c>
      <c r="I1" s="13" t="s">
        <v>166</v>
      </c>
      <c r="J1" s="13" t="s">
        <v>140</v>
      </c>
      <c r="K1" s="53" t="s">
        <v>229</v>
      </c>
      <c r="L1" s="53" t="s">
        <v>230</v>
      </c>
      <c r="M1" s="53" t="s">
        <v>231</v>
      </c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  <c r="EI1" s="53"/>
      <c r="EJ1" s="53"/>
      <c r="EK1" s="53"/>
      <c r="EL1" s="53"/>
    </row>
    <row r="2" spans="1:142" x14ac:dyDescent="0.45">
      <c r="A2" s="14" t="s">
        <v>1</v>
      </c>
      <c r="B2" s="17" t="s">
        <v>0</v>
      </c>
      <c r="D2" s="20" t="s">
        <v>391</v>
      </c>
      <c r="E2" s="60"/>
      <c r="F2" s="60"/>
      <c r="G2" s="21"/>
    </row>
    <row r="3" spans="1:142" x14ac:dyDescent="0.45">
      <c r="A3" s="14" t="s">
        <v>2</v>
      </c>
      <c r="B3" s="17" t="s">
        <v>0</v>
      </c>
      <c r="C3" s="22" t="s">
        <v>391</v>
      </c>
      <c r="D3" s="20" t="s">
        <v>391</v>
      </c>
      <c r="E3" s="60"/>
      <c r="F3" s="60"/>
    </row>
    <row r="4" spans="1:142" x14ac:dyDescent="0.45">
      <c r="A4" s="14" t="s">
        <v>3</v>
      </c>
      <c r="B4" s="17" t="s">
        <v>0</v>
      </c>
      <c r="D4" s="89"/>
      <c r="E4" s="60"/>
      <c r="F4" s="60"/>
    </row>
    <row r="5" spans="1:142" x14ac:dyDescent="0.45">
      <c r="A5" s="14" t="s">
        <v>4</v>
      </c>
      <c r="B5" s="17" t="s">
        <v>0</v>
      </c>
      <c r="E5" s="60"/>
      <c r="F5" s="60"/>
    </row>
    <row r="6" spans="1:142" x14ac:dyDescent="0.45">
      <c r="A6" s="14" t="s">
        <v>5</v>
      </c>
      <c r="B6" s="17" t="s">
        <v>0</v>
      </c>
      <c r="E6" s="60"/>
      <c r="F6" s="60"/>
    </row>
    <row r="7" spans="1:142" x14ac:dyDescent="0.45">
      <c r="A7" s="14" t="s">
        <v>6</v>
      </c>
      <c r="B7" s="17" t="s">
        <v>0</v>
      </c>
      <c r="E7" s="60"/>
      <c r="F7" s="60"/>
    </row>
    <row r="8" spans="1:142" x14ac:dyDescent="0.45">
      <c r="A8" s="14" t="s">
        <v>7</v>
      </c>
      <c r="B8" s="17" t="s">
        <v>0</v>
      </c>
      <c r="E8" s="60"/>
      <c r="F8" s="60"/>
    </row>
    <row r="9" spans="1:142" x14ac:dyDescent="0.45">
      <c r="A9" s="14" t="s">
        <v>8</v>
      </c>
      <c r="B9" s="17" t="s">
        <v>0</v>
      </c>
      <c r="E9" s="60"/>
      <c r="F9" s="60"/>
    </row>
    <row r="10" spans="1:142" x14ac:dyDescent="0.45">
      <c r="A10" s="14" t="s">
        <v>9</v>
      </c>
      <c r="B10" s="17" t="s">
        <v>0</v>
      </c>
      <c r="D10" s="89"/>
      <c r="E10" s="60"/>
      <c r="F10" s="60"/>
    </row>
    <row r="11" spans="1:142" x14ac:dyDescent="0.45">
      <c r="A11" s="14" t="s">
        <v>10</v>
      </c>
      <c r="B11" s="17" t="s">
        <v>0</v>
      </c>
      <c r="D11" s="89"/>
      <c r="E11" s="60"/>
      <c r="F11" s="60"/>
    </row>
    <row r="12" spans="1:142" x14ac:dyDescent="0.45">
      <c r="A12" s="14" t="s">
        <v>11</v>
      </c>
      <c r="B12" s="17" t="s">
        <v>0</v>
      </c>
      <c r="D12" s="89"/>
      <c r="E12" s="60"/>
      <c r="F12" s="60"/>
    </row>
    <row r="13" spans="1:142" x14ac:dyDescent="0.45">
      <c r="A13" s="14" t="s">
        <v>12</v>
      </c>
      <c r="B13" s="17" t="s">
        <v>0</v>
      </c>
      <c r="D13" s="89"/>
      <c r="E13" s="60"/>
      <c r="F13" s="60"/>
    </row>
    <row r="14" spans="1:142" x14ac:dyDescent="0.45">
      <c r="A14" s="14" t="s">
        <v>13</v>
      </c>
      <c r="B14" s="17" t="s">
        <v>0</v>
      </c>
      <c r="D14" s="89"/>
      <c r="E14" s="60"/>
      <c r="F14" s="60"/>
    </row>
    <row r="15" spans="1:142" x14ac:dyDescent="0.45">
      <c r="A15" s="23" t="s">
        <v>14</v>
      </c>
      <c r="B15" s="17" t="s">
        <v>0</v>
      </c>
      <c r="E15" s="60"/>
      <c r="F15" s="60"/>
    </row>
    <row r="16" spans="1:142" x14ac:dyDescent="0.45">
      <c r="A16" s="23" t="s">
        <v>15</v>
      </c>
      <c r="B16" s="17" t="s">
        <v>0</v>
      </c>
      <c r="E16" s="60"/>
      <c r="F16" s="60"/>
    </row>
    <row r="17" spans="1:6" x14ac:dyDescent="0.45">
      <c r="A17" s="23" t="s">
        <v>16</v>
      </c>
      <c r="B17" s="17" t="s">
        <v>0</v>
      </c>
      <c r="E17" s="60"/>
      <c r="F17" s="60"/>
    </row>
    <row r="18" spans="1:6" x14ac:dyDescent="0.45">
      <c r="A18" s="23" t="s">
        <v>17</v>
      </c>
      <c r="B18" s="17" t="s">
        <v>0</v>
      </c>
      <c r="E18" s="60"/>
      <c r="F18" s="60"/>
    </row>
    <row r="19" spans="1:6" x14ac:dyDescent="0.45">
      <c r="A19" s="23" t="s">
        <v>18</v>
      </c>
      <c r="B19" s="17" t="s">
        <v>0</v>
      </c>
      <c r="E19" s="60"/>
      <c r="F19" s="60"/>
    </row>
    <row r="20" spans="1:6" x14ac:dyDescent="0.45">
      <c r="A20" s="23" t="s">
        <v>19</v>
      </c>
      <c r="B20" s="17" t="s">
        <v>0</v>
      </c>
      <c r="E20" s="60"/>
      <c r="F20" s="60"/>
    </row>
    <row r="21" spans="1:6" x14ac:dyDescent="0.45">
      <c r="A21" s="23" t="s">
        <v>20</v>
      </c>
      <c r="B21" s="17" t="s">
        <v>0</v>
      </c>
      <c r="E21" s="60"/>
      <c r="F21" s="60"/>
    </row>
    <row r="22" spans="1:6" x14ac:dyDescent="0.45">
      <c r="A22" s="23" t="s">
        <v>21</v>
      </c>
      <c r="B22" s="17" t="s">
        <v>0</v>
      </c>
      <c r="E22" s="60"/>
      <c r="F22" s="60"/>
    </row>
    <row r="23" spans="1:6" x14ac:dyDescent="0.45">
      <c r="A23" s="23" t="s">
        <v>22</v>
      </c>
      <c r="B23" s="17" t="s">
        <v>0</v>
      </c>
      <c r="E23" s="60"/>
      <c r="F23" s="60"/>
    </row>
    <row r="24" spans="1:6" x14ac:dyDescent="0.45">
      <c r="A24" s="14" t="s">
        <v>23</v>
      </c>
      <c r="B24" s="17" t="s">
        <v>0</v>
      </c>
      <c r="D24" s="89"/>
      <c r="E24" s="60"/>
      <c r="F24" s="60"/>
    </row>
    <row r="25" spans="1:6" x14ac:dyDescent="0.45">
      <c r="A25" s="24" t="s">
        <v>24</v>
      </c>
      <c r="B25" s="15" t="s">
        <v>116</v>
      </c>
      <c r="E25" s="60"/>
      <c r="F25" s="60"/>
    </row>
    <row r="26" spans="1:6" x14ac:dyDescent="0.45">
      <c r="A26" s="24" t="s">
        <v>25</v>
      </c>
      <c r="B26" s="15" t="s">
        <v>116</v>
      </c>
      <c r="E26" s="60"/>
      <c r="F26" s="60"/>
    </row>
    <row r="27" spans="1:6" x14ac:dyDescent="0.45">
      <c r="A27" s="14" t="s">
        <v>26</v>
      </c>
      <c r="B27" s="17" t="s">
        <v>0</v>
      </c>
      <c r="D27" s="89"/>
      <c r="E27" s="60"/>
      <c r="F27" s="60"/>
    </row>
    <row r="28" spans="1:6" x14ac:dyDescent="0.45">
      <c r="A28" s="14" t="s">
        <v>27</v>
      </c>
      <c r="B28" s="17" t="s">
        <v>0</v>
      </c>
      <c r="D28" s="89"/>
      <c r="E28" s="60"/>
      <c r="F28" s="60"/>
    </row>
    <row r="29" spans="1:6" x14ac:dyDescent="0.45">
      <c r="A29" s="23" t="s">
        <v>28</v>
      </c>
      <c r="B29" s="15" t="s">
        <v>0</v>
      </c>
      <c r="E29" s="60"/>
      <c r="F29" s="60"/>
    </row>
    <row r="30" spans="1:6" x14ac:dyDescent="0.45">
      <c r="A30" s="18" t="s">
        <v>29</v>
      </c>
      <c r="B30" s="17" t="s">
        <v>0</v>
      </c>
      <c r="D30" s="89"/>
      <c r="E30" s="60"/>
      <c r="F30" s="60"/>
    </row>
    <row r="31" spans="1:6" x14ac:dyDescent="0.45">
      <c r="A31" s="14" t="s">
        <v>30</v>
      </c>
      <c r="B31" s="17" t="s">
        <v>0</v>
      </c>
      <c r="D31" s="89"/>
      <c r="E31" s="60"/>
      <c r="F31" s="60"/>
    </row>
    <row r="32" spans="1:6" x14ac:dyDescent="0.45">
      <c r="A32" s="14" t="s">
        <v>31</v>
      </c>
      <c r="B32" s="17" t="s">
        <v>0</v>
      </c>
      <c r="D32" s="89"/>
      <c r="E32" s="60"/>
      <c r="F32" s="60"/>
    </row>
    <row r="33" spans="1:6" x14ac:dyDescent="0.45">
      <c r="A33" s="23" t="s">
        <v>32</v>
      </c>
      <c r="B33" s="17" t="s">
        <v>0</v>
      </c>
      <c r="E33" s="60"/>
      <c r="F33" s="60"/>
    </row>
    <row r="34" spans="1:6" x14ac:dyDescent="0.45">
      <c r="A34" s="14" t="s">
        <v>33</v>
      </c>
      <c r="B34" s="17" t="s">
        <v>0</v>
      </c>
      <c r="E34" s="60"/>
      <c r="F34" s="60"/>
    </row>
    <row r="35" spans="1:6" x14ac:dyDescent="0.45">
      <c r="A35" s="23" t="s">
        <v>34</v>
      </c>
      <c r="B35" s="17" t="s">
        <v>0</v>
      </c>
      <c r="E35" s="60"/>
      <c r="F35" s="60"/>
    </row>
    <row r="36" spans="1:6" x14ac:dyDescent="0.45">
      <c r="A36" s="14" t="s">
        <v>35</v>
      </c>
      <c r="B36" s="17" t="s">
        <v>0</v>
      </c>
      <c r="D36" s="89"/>
      <c r="E36" s="60"/>
      <c r="F36" s="60"/>
    </row>
    <row r="37" spans="1:6" x14ac:dyDescent="0.45">
      <c r="A37" s="23" t="s">
        <v>36</v>
      </c>
      <c r="B37" s="17" t="s">
        <v>0</v>
      </c>
      <c r="E37" s="60"/>
      <c r="F37" s="60"/>
    </row>
    <row r="38" spans="1:6" x14ac:dyDescent="0.45">
      <c r="A38" s="23" t="s">
        <v>37</v>
      </c>
      <c r="B38" s="17" t="s">
        <v>0</v>
      </c>
      <c r="E38" s="60"/>
      <c r="F38" s="60"/>
    </row>
    <row r="39" spans="1:6" x14ac:dyDescent="0.45">
      <c r="A39" s="23" t="s">
        <v>38</v>
      </c>
      <c r="B39" s="17" t="s">
        <v>0</v>
      </c>
      <c r="E39" s="60"/>
      <c r="F39" s="60"/>
    </row>
    <row r="40" spans="1:6" x14ac:dyDescent="0.45">
      <c r="A40" s="23" t="s">
        <v>39</v>
      </c>
      <c r="B40" s="17" t="s">
        <v>0</v>
      </c>
      <c r="E40" s="60"/>
      <c r="F40" s="60"/>
    </row>
    <row r="41" spans="1:6" x14ac:dyDescent="0.45">
      <c r="A41" s="23" t="s">
        <v>40</v>
      </c>
      <c r="B41" s="17" t="s">
        <v>0</v>
      </c>
      <c r="E41" s="60"/>
      <c r="F41" s="60"/>
    </row>
    <row r="42" spans="1:6" x14ac:dyDescent="0.45">
      <c r="A42" s="33" t="s">
        <v>241</v>
      </c>
      <c r="B42" s="72" t="s">
        <v>0</v>
      </c>
      <c r="E42" s="60"/>
      <c r="F42" s="60"/>
    </row>
    <row r="43" spans="1:6" x14ac:dyDescent="0.45">
      <c r="A43" s="14" t="s">
        <v>41</v>
      </c>
      <c r="B43" s="17" t="s">
        <v>0</v>
      </c>
      <c r="D43" s="89"/>
      <c r="E43" s="60"/>
      <c r="F43" s="60"/>
    </row>
    <row r="44" spans="1:6" x14ac:dyDescent="0.45">
      <c r="A44" s="19" t="s">
        <v>42</v>
      </c>
      <c r="B44" s="17" t="s">
        <v>0</v>
      </c>
      <c r="D44" s="89"/>
      <c r="E44" s="60"/>
      <c r="F44" s="60"/>
    </row>
    <row r="45" spans="1:6" x14ac:dyDescent="0.45">
      <c r="A45" s="14" t="s">
        <v>43</v>
      </c>
      <c r="B45" s="17" t="s">
        <v>0</v>
      </c>
      <c r="D45" s="89"/>
      <c r="E45" s="60"/>
      <c r="F45" s="60"/>
    </row>
    <row r="46" spans="1:6" x14ac:dyDescent="0.45">
      <c r="A46" s="14" t="s">
        <v>44</v>
      </c>
      <c r="B46" s="17" t="s">
        <v>0</v>
      </c>
      <c r="D46" s="89"/>
      <c r="E46" s="60"/>
      <c r="F46" s="60"/>
    </row>
    <row r="47" spans="1:6" x14ac:dyDescent="0.45">
      <c r="A47" s="14" t="s">
        <v>45</v>
      </c>
      <c r="B47" s="17" t="s">
        <v>0</v>
      </c>
      <c r="D47" s="89"/>
      <c r="E47" s="60"/>
      <c r="F47" s="60"/>
    </row>
    <row r="48" spans="1:6" x14ac:dyDescent="0.45">
      <c r="A48" s="14" t="s">
        <v>46</v>
      </c>
      <c r="B48" s="17" t="s">
        <v>0</v>
      </c>
      <c r="D48" s="89"/>
      <c r="E48" s="60"/>
      <c r="F48" s="60"/>
    </row>
    <row r="49" spans="1:13" x14ac:dyDescent="0.45">
      <c r="A49" s="19" t="s">
        <v>242</v>
      </c>
      <c r="B49" s="17" t="s">
        <v>0</v>
      </c>
      <c r="D49" s="89"/>
      <c r="E49" s="60"/>
      <c r="F49" s="60"/>
    </row>
    <row r="50" spans="1:13" ht="15.75" customHeight="1" x14ac:dyDescent="0.45">
      <c r="A50" s="24" t="s">
        <v>47</v>
      </c>
      <c r="B50" s="17" t="s">
        <v>116</v>
      </c>
      <c r="D50" s="26"/>
      <c r="E50" s="60"/>
      <c r="F50" s="60"/>
    </row>
    <row r="51" spans="1:13" x14ac:dyDescent="0.45">
      <c r="A51" s="27" t="s">
        <v>48</v>
      </c>
      <c r="B51" s="17" t="s">
        <v>0</v>
      </c>
      <c r="E51" s="60"/>
      <c r="F51" s="60"/>
    </row>
    <row r="52" spans="1:13" x14ac:dyDescent="0.45">
      <c r="A52" s="27" t="s">
        <v>49</v>
      </c>
      <c r="B52" s="17" t="s">
        <v>0</v>
      </c>
      <c r="E52" s="60"/>
      <c r="F52" s="60"/>
    </row>
    <row r="53" spans="1:13" ht="28.5" x14ac:dyDescent="0.45">
      <c r="A53" s="14" t="s">
        <v>50</v>
      </c>
      <c r="B53" s="17" t="s">
        <v>0</v>
      </c>
      <c r="C53" s="22" t="s">
        <v>391</v>
      </c>
      <c r="D53" s="20" t="s">
        <v>391</v>
      </c>
      <c r="E53" s="60"/>
      <c r="F53" s="60"/>
      <c r="G53" s="73" t="s">
        <v>169</v>
      </c>
    </row>
    <row r="54" spans="1:13" x14ac:dyDescent="0.45">
      <c r="A54" s="14" t="s">
        <v>51</v>
      </c>
      <c r="B54" s="17" t="s">
        <v>0</v>
      </c>
      <c r="C54" s="22" t="s">
        <v>391</v>
      </c>
      <c r="D54" s="20" t="s">
        <v>391</v>
      </c>
      <c r="E54" s="60"/>
      <c r="F54" s="60"/>
    </row>
    <row r="55" spans="1:13" x14ac:dyDescent="0.45">
      <c r="A55" s="14" t="s">
        <v>52</v>
      </c>
      <c r="B55" s="17" t="s">
        <v>0</v>
      </c>
      <c r="C55" s="22"/>
      <c r="D55" s="89"/>
      <c r="E55" s="60"/>
      <c r="F55" s="60"/>
    </row>
    <row r="56" spans="1:13" x14ac:dyDescent="0.45">
      <c r="A56" s="14" t="s">
        <v>53</v>
      </c>
      <c r="B56" s="17" t="s">
        <v>0</v>
      </c>
      <c r="C56" s="22" t="s">
        <v>391</v>
      </c>
      <c r="D56" s="20" t="s">
        <v>391</v>
      </c>
      <c r="E56" s="60"/>
      <c r="F56" s="60"/>
    </row>
    <row r="57" spans="1:13" x14ac:dyDescent="0.45">
      <c r="A57" s="14" t="s">
        <v>54</v>
      </c>
      <c r="B57" s="17" t="s">
        <v>0</v>
      </c>
      <c r="C57" s="22" t="s">
        <v>391</v>
      </c>
      <c r="D57" s="20" t="s">
        <v>391</v>
      </c>
      <c r="E57" s="60"/>
      <c r="F57" s="60"/>
    </row>
    <row r="58" spans="1:13" x14ac:dyDescent="0.45">
      <c r="A58" s="14" t="s">
        <v>55</v>
      </c>
      <c r="B58" s="17" t="s">
        <v>0</v>
      </c>
      <c r="C58" s="22" t="s">
        <v>391</v>
      </c>
      <c r="D58" s="20" t="s">
        <v>391</v>
      </c>
      <c r="E58" s="60"/>
      <c r="F58" s="60"/>
    </row>
    <row r="59" spans="1:13" x14ac:dyDescent="0.45">
      <c r="A59" s="14" t="s">
        <v>56</v>
      </c>
      <c r="B59" s="17" t="s">
        <v>0</v>
      </c>
      <c r="C59" s="22" t="s">
        <v>391</v>
      </c>
      <c r="D59" s="20" t="s">
        <v>391</v>
      </c>
      <c r="E59" s="60"/>
      <c r="F59" s="60"/>
    </row>
    <row r="60" spans="1:13" x14ac:dyDescent="0.45">
      <c r="A60" s="14" t="s">
        <v>57</v>
      </c>
      <c r="B60" s="17" t="s">
        <v>0</v>
      </c>
      <c r="C60" s="22"/>
      <c r="D60" s="89"/>
      <c r="E60" s="60"/>
      <c r="F60" s="60"/>
    </row>
    <row r="61" spans="1:13" x14ac:dyDescent="0.45">
      <c r="A61" s="14" t="s">
        <v>58</v>
      </c>
      <c r="B61" s="17" t="s">
        <v>0</v>
      </c>
      <c r="C61" s="22" t="s">
        <v>391</v>
      </c>
      <c r="D61" s="20" t="s">
        <v>391</v>
      </c>
      <c r="E61" s="60"/>
      <c r="F61" s="60"/>
    </row>
    <row r="62" spans="1:13" ht="57" x14ac:dyDescent="0.45">
      <c r="A62" s="19" t="s">
        <v>59</v>
      </c>
      <c r="B62" s="17" t="s">
        <v>170</v>
      </c>
      <c r="C62" s="28" t="s">
        <v>171</v>
      </c>
      <c r="D62" s="29" t="s">
        <v>399</v>
      </c>
      <c r="E62" s="61" t="s">
        <v>148</v>
      </c>
      <c r="F62" s="62" t="s">
        <v>141</v>
      </c>
      <c r="G62" s="57" t="s">
        <v>172</v>
      </c>
      <c r="H62" s="21" t="s">
        <v>172</v>
      </c>
      <c r="I62" s="21" t="s">
        <v>172</v>
      </c>
      <c r="J62" s="7" t="s">
        <v>148</v>
      </c>
      <c r="K62" t="s">
        <v>398</v>
      </c>
      <c r="L62" t="s">
        <v>398</v>
      </c>
      <c r="M62" t="s">
        <v>398</v>
      </c>
    </row>
    <row r="63" spans="1:13" ht="42.75" x14ac:dyDescent="0.45">
      <c r="A63" s="19" t="s">
        <v>60</v>
      </c>
      <c r="B63" s="17" t="s">
        <v>170</v>
      </c>
      <c r="C63" s="22" t="s">
        <v>391</v>
      </c>
      <c r="D63" s="20" t="s">
        <v>391</v>
      </c>
      <c r="E63" s="60"/>
      <c r="F63" s="60"/>
      <c r="I63" s="21" t="s">
        <v>169</v>
      </c>
      <c r="J63" s="6" t="s">
        <v>149</v>
      </c>
    </row>
    <row r="64" spans="1:13" x14ac:dyDescent="0.45">
      <c r="A64" s="19" t="s">
        <v>61</v>
      </c>
      <c r="B64" s="17" t="s">
        <v>170</v>
      </c>
      <c r="C64" s="22" t="s">
        <v>391</v>
      </c>
      <c r="D64" s="20" t="s">
        <v>391</v>
      </c>
      <c r="E64" s="60"/>
      <c r="F64" s="60"/>
      <c r="K64" t="s">
        <v>398</v>
      </c>
    </row>
    <row r="65" spans="1:13" x14ac:dyDescent="0.45">
      <c r="A65" s="19" t="s">
        <v>62</v>
      </c>
      <c r="B65" s="17" t="s">
        <v>170</v>
      </c>
      <c r="C65" s="22" t="s">
        <v>391</v>
      </c>
      <c r="D65" s="20" t="s">
        <v>391</v>
      </c>
      <c r="E65" s="60"/>
      <c r="F65" s="60"/>
    </row>
    <row r="66" spans="1:13" x14ac:dyDescent="0.45">
      <c r="A66" s="19" t="s">
        <v>63</v>
      </c>
      <c r="B66" s="15" t="s">
        <v>173</v>
      </c>
      <c r="C66" s="22" t="s">
        <v>390</v>
      </c>
      <c r="D66" s="20" t="s">
        <v>391</v>
      </c>
      <c r="E66" s="60"/>
      <c r="F66" s="60"/>
    </row>
    <row r="67" spans="1:13" x14ac:dyDescent="0.45">
      <c r="A67" s="19" t="s">
        <v>64</v>
      </c>
      <c r="B67" s="17" t="s">
        <v>173</v>
      </c>
      <c r="C67" s="22" t="s">
        <v>391</v>
      </c>
      <c r="D67" s="20" t="s">
        <v>391</v>
      </c>
      <c r="E67" s="60"/>
      <c r="F67" s="60"/>
    </row>
    <row r="68" spans="1:13" s="25" customFormat="1" x14ac:dyDescent="0.45">
      <c r="A68" s="30" t="s">
        <v>174</v>
      </c>
      <c r="B68" s="17" t="s">
        <v>175</v>
      </c>
      <c r="C68" s="31" t="s">
        <v>168</v>
      </c>
      <c r="D68" s="20" t="s">
        <v>391</v>
      </c>
      <c r="E68" s="63"/>
      <c r="F68" s="63"/>
      <c r="G68" s="6"/>
      <c r="H68" s="6"/>
      <c r="I68" s="6"/>
    </row>
    <row r="69" spans="1:13" s="25" customFormat="1" x14ac:dyDescent="0.45">
      <c r="A69" s="30" t="s">
        <v>176</v>
      </c>
      <c r="B69" s="17" t="s">
        <v>175</v>
      </c>
      <c r="C69" s="31" t="s">
        <v>168</v>
      </c>
      <c r="D69" s="20" t="s">
        <v>391</v>
      </c>
      <c r="E69" s="63"/>
      <c r="F69" s="63"/>
      <c r="G69" s="6"/>
      <c r="H69" s="6"/>
      <c r="I69" s="6"/>
    </row>
    <row r="70" spans="1:13" s="25" customFormat="1" x14ac:dyDescent="0.45">
      <c r="A70" s="32" t="s">
        <v>177</v>
      </c>
      <c r="B70" s="17" t="s">
        <v>175</v>
      </c>
      <c r="C70" s="31" t="s">
        <v>168</v>
      </c>
      <c r="D70" s="20" t="s">
        <v>391</v>
      </c>
      <c r="E70" s="63"/>
      <c r="F70" s="63"/>
      <c r="G70" s="6"/>
      <c r="H70" s="6"/>
      <c r="I70" s="6"/>
    </row>
    <row r="71" spans="1:13" s="25" customFormat="1" x14ac:dyDescent="0.45">
      <c r="A71" s="32" t="s">
        <v>178</v>
      </c>
      <c r="B71" s="17" t="s">
        <v>175</v>
      </c>
      <c r="C71" s="31" t="s">
        <v>168</v>
      </c>
      <c r="D71" s="29" t="s">
        <v>179</v>
      </c>
      <c r="E71" s="63"/>
      <c r="F71" s="63"/>
      <c r="G71" s="6"/>
      <c r="H71" s="6"/>
      <c r="I71" s="6"/>
    </row>
    <row r="72" spans="1:13" ht="71.25" x14ac:dyDescent="0.45">
      <c r="A72" s="19" t="s">
        <v>65</v>
      </c>
      <c r="B72" s="17" t="s">
        <v>170</v>
      </c>
      <c r="C72" s="28" t="s">
        <v>392</v>
      </c>
      <c r="D72" s="29" t="s">
        <v>393</v>
      </c>
      <c r="E72" s="60"/>
      <c r="F72" s="64" t="s">
        <v>142</v>
      </c>
      <c r="G72" s="21" t="s">
        <v>180</v>
      </c>
      <c r="H72" s="21" t="s">
        <v>180</v>
      </c>
      <c r="I72" s="21" t="s">
        <v>181</v>
      </c>
      <c r="K72" t="s">
        <v>398</v>
      </c>
      <c r="L72" t="s">
        <v>398</v>
      </c>
      <c r="M72" t="s">
        <v>398</v>
      </c>
    </row>
    <row r="73" spans="1:13" x14ac:dyDescent="0.45">
      <c r="A73" s="19" t="s">
        <v>66</v>
      </c>
      <c r="B73" s="17" t="s">
        <v>170</v>
      </c>
      <c r="C73" s="22"/>
      <c r="D73" s="20" t="s">
        <v>391</v>
      </c>
      <c r="E73" s="60"/>
      <c r="F73" s="65"/>
      <c r="K73" t="s">
        <v>398</v>
      </c>
    </row>
    <row r="74" spans="1:13" ht="28.5" x14ac:dyDescent="0.45">
      <c r="A74" s="19" t="s">
        <v>67</v>
      </c>
      <c r="B74" s="17" t="s">
        <v>170</v>
      </c>
      <c r="C74" s="22" t="s">
        <v>391</v>
      </c>
      <c r="D74" s="20" t="s">
        <v>391</v>
      </c>
      <c r="E74" s="60" t="s">
        <v>404</v>
      </c>
      <c r="F74" s="62" t="s">
        <v>143</v>
      </c>
    </row>
    <row r="75" spans="1:13" x14ac:dyDescent="0.45">
      <c r="A75" s="19" t="s">
        <v>68</v>
      </c>
      <c r="B75" s="17" t="s">
        <v>173</v>
      </c>
      <c r="C75" s="22" t="s">
        <v>391</v>
      </c>
      <c r="D75" s="20" t="s">
        <v>391</v>
      </c>
      <c r="E75" s="60"/>
      <c r="F75" s="60"/>
    </row>
    <row r="76" spans="1:13" x14ac:dyDescent="0.45">
      <c r="A76" s="19" t="s">
        <v>69</v>
      </c>
      <c r="B76" s="17" t="s">
        <v>173</v>
      </c>
      <c r="C76" s="28" t="s">
        <v>179</v>
      </c>
      <c r="D76" s="29" t="s">
        <v>179</v>
      </c>
      <c r="E76" s="60" t="s">
        <v>403</v>
      </c>
      <c r="F76" s="60"/>
      <c r="M76" t="s">
        <v>398</v>
      </c>
    </row>
    <row r="77" spans="1:13" s="25" customFormat="1" x14ac:dyDescent="0.45">
      <c r="A77" s="32" t="s">
        <v>182</v>
      </c>
      <c r="B77" s="17" t="s">
        <v>175</v>
      </c>
      <c r="C77" s="28" t="s">
        <v>168</v>
      </c>
      <c r="D77" s="29" t="s">
        <v>183</v>
      </c>
      <c r="E77" s="63"/>
      <c r="F77" s="63"/>
      <c r="G77" s="6"/>
      <c r="H77" s="6"/>
      <c r="I77" s="6"/>
    </row>
    <row r="78" spans="1:13" ht="42.75" x14ac:dyDescent="0.45">
      <c r="A78" s="19" t="s">
        <v>70</v>
      </c>
      <c r="B78" s="17" t="s">
        <v>170</v>
      </c>
      <c r="C78" s="28" t="s">
        <v>184</v>
      </c>
      <c r="D78" s="29" t="s">
        <v>184</v>
      </c>
      <c r="E78" s="60"/>
      <c r="F78" s="60"/>
      <c r="G78" s="21" t="s">
        <v>185</v>
      </c>
      <c r="M78" t="s">
        <v>398</v>
      </c>
    </row>
    <row r="79" spans="1:13" ht="57" x14ac:dyDescent="0.45">
      <c r="A79" s="19" t="s">
        <v>71</v>
      </c>
      <c r="B79" s="17" t="s">
        <v>170</v>
      </c>
      <c r="C79" s="22" t="s">
        <v>391</v>
      </c>
      <c r="D79" s="20" t="s">
        <v>391</v>
      </c>
      <c r="E79" s="60"/>
      <c r="F79" s="60"/>
      <c r="G79" s="21" t="s">
        <v>169</v>
      </c>
      <c r="I79" s="21" t="s">
        <v>172</v>
      </c>
      <c r="K79" t="s">
        <v>398</v>
      </c>
      <c r="L79" t="s">
        <v>398</v>
      </c>
    </row>
    <row r="80" spans="1:13" ht="57" x14ac:dyDescent="0.45">
      <c r="A80" s="19" t="s">
        <v>72</v>
      </c>
      <c r="B80" s="17" t="s">
        <v>173</v>
      </c>
      <c r="C80" s="28" t="s">
        <v>186</v>
      </c>
      <c r="D80" s="29" t="s">
        <v>186</v>
      </c>
      <c r="E80" s="60"/>
      <c r="F80" s="60"/>
      <c r="G80" s="21" t="s">
        <v>187</v>
      </c>
      <c r="H80" s="21" t="s">
        <v>188</v>
      </c>
      <c r="I80" s="21" t="s">
        <v>188</v>
      </c>
      <c r="K80" t="s">
        <v>398</v>
      </c>
      <c r="L80" t="s">
        <v>398</v>
      </c>
      <c r="M80" t="s">
        <v>398</v>
      </c>
    </row>
    <row r="81" spans="1:12" ht="57" x14ac:dyDescent="0.45">
      <c r="A81" s="19" t="s">
        <v>73</v>
      </c>
      <c r="B81" s="17" t="s">
        <v>173</v>
      </c>
      <c r="C81" s="28" t="s">
        <v>394</v>
      </c>
      <c r="D81" s="20" t="s">
        <v>394</v>
      </c>
      <c r="E81" s="60"/>
      <c r="F81" s="60"/>
      <c r="G81" s="21" t="s">
        <v>189</v>
      </c>
      <c r="H81" s="21" t="s">
        <v>189</v>
      </c>
      <c r="I81" s="21" t="s">
        <v>189</v>
      </c>
    </row>
    <row r="82" spans="1:12" x14ac:dyDescent="0.45">
      <c r="A82" s="19" t="s">
        <v>74</v>
      </c>
      <c r="B82" s="17" t="s">
        <v>173</v>
      </c>
      <c r="C82" s="22" t="s">
        <v>391</v>
      </c>
      <c r="D82" s="20" t="s">
        <v>391</v>
      </c>
      <c r="E82" s="60"/>
      <c r="F82" s="60"/>
    </row>
    <row r="83" spans="1:12" s="25" customFormat="1" x14ac:dyDescent="0.45">
      <c r="A83" s="30" t="s">
        <v>190</v>
      </c>
      <c r="B83" s="17" t="s">
        <v>175</v>
      </c>
      <c r="C83" s="31" t="s">
        <v>168</v>
      </c>
      <c r="D83" s="26" t="s">
        <v>391</v>
      </c>
      <c r="E83" s="63"/>
      <c r="F83" s="63"/>
      <c r="G83" s="6"/>
      <c r="H83" s="6"/>
      <c r="I83" s="6"/>
    </row>
    <row r="84" spans="1:12" s="25" customFormat="1" x14ac:dyDescent="0.45">
      <c r="A84" s="30" t="s">
        <v>191</v>
      </c>
      <c r="B84" s="17" t="s">
        <v>175</v>
      </c>
      <c r="C84" s="31" t="s">
        <v>168</v>
      </c>
      <c r="D84" s="26" t="s">
        <v>391</v>
      </c>
      <c r="E84" s="63"/>
      <c r="F84" s="63"/>
      <c r="G84" s="6"/>
      <c r="H84" s="6"/>
      <c r="I84" s="6"/>
    </row>
    <row r="85" spans="1:12" s="25" customFormat="1" x14ac:dyDescent="0.45">
      <c r="A85" s="30" t="s">
        <v>192</v>
      </c>
      <c r="B85" s="17" t="s">
        <v>175</v>
      </c>
      <c r="C85" s="31" t="s">
        <v>168</v>
      </c>
      <c r="D85" s="26" t="s">
        <v>391</v>
      </c>
      <c r="E85" s="63"/>
      <c r="F85" s="63"/>
      <c r="G85" s="6"/>
      <c r="H85" s="6"/>
      <c r="I85" s="6"/>
    </row>
    <row r="86" spans="1:12" s="25" customFormat="1" x14ac:dyDescent="0.45">
      <c r="A86" s="30" t="s">
        <v>193</v>
      </c>
      <c r="B86" s="17" t="s">
        <v>175</v>
      </c>
      <c r="C86" s="31" t="s">
        <v>168</v>
      </c>
      <c r="D86" s="26" t="s">
        <v>391</v>
      </c>
      <c r="E86" s="63"/>
      <c r="F86" s="63"/>
      <c r="G86" s="6"/>
      <c r="H86" s="6"/>
      <c r="I86" s="6"/>
    </row>
    <row r="87" spans="1:12" x14ac:dyDescent="0.45">
      <c r="A87" s="19" t="s">
        <v>75</v>
      </c>
      <c r="B87" s="17" t="s">
        <v>173</v>
      </c>
      <c r="C87" s="28" t="s">
        <v>183</v>
      </c>
      <c r="D87" s="29" t="s">
        <v>183</v>
      </c>
      <c r="E87" s="60"/>
      <c r="F87" s="60"/>
    </row>
    <row r="88" spans="1:12" x14ac:dyDescent="0.45">
      <c r="A88" s="19" t="s">
        <v>76</v>
      </c>
      <c r="B88" s="17" t="s">
        <v>173</v>
      </c>
      <c r="C88" s="28" t="s">
        <v>194</v>
      </c>
      <c r="D88" s="29" t="s">
        <v>194</v>
      </c>
      <c r="E88" s="60"/>
      <c r="F88" s="60"/>
    </row>
    <row r="89" spans="1:12" x14ac:dyDescent="0.45">
      <c r="A89" s="74" t="s">
        <v>77</v>
      </c>
      <c r="B89" s="17" t="s">
        <v>173</v>
      </c>
      <c r="C89" s="28" t="s">
        <v>195</v>
      </c>
      <c r="D89" s="29" t="s">
        <v>195</v>
      </c>
      <c r="E89" s="60"/>
      <c r="F89" s="60"/>
    </row>
    <row r="90" spans="1:12" x14ac:dyDescent="0.45">
      <c r="A90" s="19" t="s">
        <v>78</v>
      </c>
      <c r="B90" s="17" t="s">
        <v>173</v>
      </c>
      <c r="C90" s="22" t="s">
        <v>391</v>
      </c>
      <c r="D90" s="20" t="s">
        <v>391</v>
      </c>
      <c r="E90" s="60"/>
      <c r="F90" s="60"/>
    </row>
    <row r="91" spans="1:12" ht="42.75" x14ac:dyDescent="0.45">
      <c r="A91" s="19" t="s">
        <v>79</v>
      </c>
      <c r="B91" s="17" t="s">
        <v>170</v>
      </c>
      <c r="C91" s="28" t="s">
        <v>395</v>
      </c>
      <c r="D91" s="20" t="s">
        <v>396</v>
      </c>
      <c r="E91" s="60"/>
      <c r="F91" s="62" t="s">
        <v>144</v>
      </c>
      <c r="K91" t="s">
        <v>398</v>
      </c>
      <c r="L91" t="s">
        <v>398</v>
      </c>
    </row>
    <row r="92" spans="1:12" x14ac:dyDescent="0.45">
      <c r="A92" s="19" t="s">
        <v>80</v>
      </c>
      <c r="B92" s="17" t="s">
        <v>170</v>
      </c>
      <c r="C92" s="22" t="s">
        <v>391</v>
      </c>
      <c r="D92" s="20" t="s">
        <v>391</v>
      </c>
      <c r="E92" s="60"/>
      <c r="F92" s="60"/>
    </row>
    <row r="93" spans="1:12" s="25" customFormat="1" x14ac:dyDescent="0.45">
      <c r="A93" s="30" t="s">
        <v>196</v>
      </c>
      <c r="B93" s="17" t="s">
        <v>175</v>
      </c>
      <c r="C93" s="31" t="s">
        <v>168</v>
      </c>
      <c r="D93" s="26" t="s">
        <v>391</v>
      </c>
      <c r="E93" s="63"/>
      <c r="F93" s="63"/>
      <c r="G93" s="6"/>
      <c r="H93" s="6"/>
      <c r="I93" s="6"/>
    </row>
    <row r="94" spans="1:12" x14ac:dyDescent="0.45">
      <c r="A94" s="19" t="s">
        <v>81</v>
      </c>
      <c r="B94" s="17" t="s">
        <v>170</v>
      </c>
      <c r="C94" s="22" t="s">
        <v>391</v>
      </c>
      <c r="D94" s="20" t="s">
        <v>391</v>
      </c>
      <c r="E94" s="60"/>
      <c r="F94" s="60"/>
    </row>
    <row r="95" spans="1:12" x14ac:dyDescent="0.45">
      <c r="A95" s="19" t="s">
        <v>82</v>
      </c>
      <c r="B95" s="17" t="s">
        <v>170</v>
      </c>
      <c r="C95" s="22" t="s">
        <v>391</v>
      </c>
      <c r="D95" s="20" t="s">
        <v>391</v>
      </c>
      <c r="E95" s="60"/>
      <c r="F95" s="60"/>
    </row>
    <row r="96" spans="1:12" x14ac:dyDescent="0.45">
      <c r="A96" s="19" t="s">
        <v>83</v>
      </c>
      <c r="B96" s="17" t="s">
        <v>170</v>
      </c>
      <c r="C96" s="22" t="s">
        <v>391</v>
      </c>
      <c r="D96" s="20" t="s">
        <v>391</v>
      </c>
      <c r="E96" s="60"/>
      <c r="F96" s="60"/>
    </row>
    <row r="97" spans="1:13" s="25" customFormat="1" x14ac:dyDescent="0.45">
      <c r="A97" s="30" t="s">
        <v>197</v>
      </c>
      <c r="B97" s="17" t="s">
        <v>175</v>
      </c>
      <c r="C97" s="31" t="s">
        <v>168</v>
      </c>
      <c r="D97" s="26" t="s">
        <v>391</v>
      </c>
      <c r="E97" s="63"/>
      <c r="F97" s="63"/>
      <c r="G97" s="6"/>
      <c r="H97" s="6"/>
      <c r="I97" s="6"/>
    </row>
    <row r="98" spans="1:13" s="25" customFormat="1" x14ac:dyDescent="0.45">
      <c r="A98" s="32" t="s">
        <v>198</v>
      </c>
      <c r="B98" s="17" t="s">
        <v>175</v>
      </c>
      <c r="C98" s="31" t="s">
        <v>168</v>
      </c>
      <c r="D98" s="34" t="s">
        <v>184</v>
      </c>
      <c r="E98" s="63"/>
      <c r="F98" s="63"/>
      <c r="G98" s="6"/>
      <c r="H98" s="6"/>
      <c r="I98" s="6"/>
    </row>
    <row r="99" spans="1:13" s="25" customFormat="1" x14ac:dyDescent="0.45">
      <c r="A99" s="30" t="s">
        <v>199</v>
      </c>
      <c r="B99" s="17" t="s">
        <v>175</v>
      </c>
      <c r="C99" s="31" t="s">
        <v>168</v>
      </c>
      <c r="D99" s="34" t="s">
        <v>200</v>
      </c>
      <c r="E99" s="63"/>
      <c r="F99" s="63"/>
      <c r="G99" s="6"/>
      <c r="H99" s="6"/>
      <c r="I99" s="6"/>
    </row>
    <row r="100" spans="1:13" s="25" customFormat="1" x14ac:dyDescent="0.45">
      <c r="A100" s="30" t="s">
        <v>201</v>
      </c>
      <c r="B100" s="17" t="s">
        <v>175</v>
      </c>
      <c r="C100" s="31" t="s">
        <v>168</v>
      </c>
      <c r="D100" s="26" t="s">
        <v>391</v>
      </c>
      <c r="E100" s="63"/>
      <c r="F100" s="63"/>
      <c r="G100" s="6"/>
      <c r="H100" s="6"/>
      <c r="I100" s="6"/>
    </row>
    <row r="101" spans="1:13" x14ac:dyDescent="0.45">
      <c r="A101" s="19" t="s">
        <v>84</v>
      </c>
      <c r="B101" s="17" t="s">
        <v>170</v>
      </c>
      <c r="C101" s="22" t="s">
        <v>391</v>
      </c>
      <c r="D101" s="20" t="s">
        <v>391</v>
      </c>
      <c r="E101" s="60"/>
      <c r="F101" s="60"/>
    </row>
    <row r="102" spans="1:13" s="25" customFormat="1" x14ac:dyDescent="0.45">
      <c r="A102" s="30" t="s">
        <v>202</v>
      </c>
      <c r="B102" s="17" t="s">
        <v>175</v>
      </c>
      <c r="C102" s="31" t="s">
        <v>168</v>
      </c>
      <c r="D102" s="26" t="s">
        <v>391</v>
      </c>
      <c r="E102" s="63"/>
      <c r="F102" s="63"/>
      <c r="G102" s="6"/>
      <c r="H102" s="6"/>
      <c r="I102" s="6"/>
    </row>
    <row r="103" spans="1:13" s="25" customFormat="1" x14ac:dyDescent="0.45">
      <c r="A103" s="30" t="s">
        <v>203</v>
      </c>
      <c r="B103" s="17" t="s">
        <v>175</v>
      </c>
      <c r="C103" s="31" t="s">
        <v>168</v>
      </c>
      <c r="D103" s="26" t="s">
        <v>391</v>
      </c>
      <c r="E103" s="63"/>
      <c r="F103" s="63"/>
      <c r="G103" s="6"/>
      <c r="H103" s="6"/>
      <c r="I103" s="6"/>
    </row>
    <row r="104" spans="1:13" x14ac:dyDescent="0.45">
      <c r="A104" s="19" t="s">
        <v>85</v>
      </c>
      <c r="B104" s="17" t="s">
        <v>170</v>
      </c>
      <c r="C104" s="28" t="s">
        <v>204</v>
      </c>
      <c r="D104" s="29" t="s">
        <v>204</v>
      </c>
      <c r="E104" s="60"/>
      <c r="F104" s="60"/>
      <c r="K104" t="s">
        <v>398</v>
      </c>
    </row>
    <row r="105" spans="1:13" x14ac:dyDescent="0.45">
      <c r="A105" s="19" t="s">
        <v>86</v>
      </c>
      <c r="B105" s="17" t="s">
        <v>170</v>
      </c>
      <c r="C105" s="22" t="s">
        <v>391</v>
      </c>
      <c r="D105" s="20" t="s">
        <v>391</v>
      </c>
      <c r="E105" s="90" t="s">
        <v>402</v>
      </c>
      <c r="F105" s="60"/>
      <c r="K105" t="s">
        <v>398</v>
      </c>
      <c r="L105" t="s">
        <v>398</v>
      </c>
      <c r="M105" t="s">
        <v>398</v>
      </c>
    </row>
    <row r="106" spans="1:13" x14ac:dyDescent="0.45">
      <c r="A106" s="19" t="s">
        <v>87</v>
      </c>
      <c r="B106" s="17" t="s">
        <v>170</v>
      </c>
      <c r="C106" s="35" t="s">
        <v>397</v>
      </c>
      <c r="D106" s="29" t="s">
        <v>205</v>
      </c>
      <c r="E106" s="66"/>
      <c r="F106" s="60"/>
      <c r="K106" t="s">
        <v>398</v>
      </c>
      <c r="M106" t="s">
        <v>398</v>
      </c>
    </row>
    <row r="107" spans="1:13" ht="71.25" x14ac:dyDescent="0.45">
      <c r="A107" s="19" t="s">
        <v>88</v>
      </c>
      <c r="B107" s="17" t="s">
        <v>170</v>
      </c>
      <c r="C107" s="22" t="s">
        <v>391</v>
      </c>
      <c r="D107" s="20" t="s">
        <v>391</v>
      </c>
      <c r="E107" s="90" t="s">
        <v>402</v>
      </c>
      <c r="F107" s="60"/>
      <c r="G107" s="21" t="s">
        <v>206</v>
      </c>
      <c r="H107" s="21" t="s">
        <v>206</v>
      </c>
      <c r="I107" s="21" t="s">
        <v>206</v>
      </c>
    </row>
    <row r="108" spans="1:13" x14ac:dyDescent="0.45">
      <c r="A108" s="19" t="s">
        <v>89</v>
      </c>
      <c r="B108" s="17" t="s">
        <v>173</v>
      </c>
      <c r="C108" s="22" t="s">
        <v>391</v>
      </c>
      <c r="D108" s="20" t="s">
        <v>391</v>
      </c>
      <c r="E108" s="66"/>
      <c r="F108" s="60"/>
    </row>
    <row r="109" spans="1:13" ht="57" x14ac:dyDescent="0.45">
      <c r="A109" s="19" t="s">
        <v>90</v>
      </c>
      <c r="B109" s="17" t="s">
        <v>173</v>
      </c>
      <c r="C109" s="22" t="s">
        <v>391</v>
      </c>
      <c r="D109" s="20" t="s">
        <v>391</v>
      </c>
      <c r="E109" s="90" t="s">
        <v>402</v>
      </c>
      <c r="F109" s="60"/>
      <c r="I109" s="21" t="s">
        <v>207</v>
      </c>
    </row>
    <row r="110" spans="1:13" x14ac:dyDescent="0.45">
      <c r="A110" s="19" t="s">
        <v>91</v>
      </c>
      <c r="B110" s="17" t="s">
        <v>173</v>
      </c>
      <c r="C110" s="22" t="s">
        <v>391</v>
      </c>
      <c r="D110" s="20" t="s">
        <v>391</v>
      </c>
      <c r="E110" s="60"/>
      <c r="F110" s="60"/>
    </row>
    <row r="111" spans="1:13" s="25" customFormat="1" x14ac:dyDescent="0.45">
      <c r="A111" s="30" t="s">
        <v>208</v>
      </c>
      <c r="B111" s="17" t="s">
        <v>175</v>
      </c>
      <c r="C111" s="31" t="s">
        <v>168</v>
      </c>
      <c r="D111" s="26"/>
      <c r="E111" s="63"/>
      <c r="F111" s="63"/>
      <c r="G111" s="6"/>
      <c r="H111" s="6"/>
      <c r="I111" s="6"/>
    </row>
    <row r="112" spans="1:13" s="25" customFormat="1" x14ac:dyDescent="0.45">
      <c r="A112" s="30" t="s">
        <v>209</v>
      </c>
      <c r="B112" s="17" t="s">
        <v>175</v>
      </c>
      <c r="C112" s="31" t="s">
        <v>168</v>
      </c>
      <c r="D112" s="26"/>
      <c r="E112" s="63"/>
      <c r="F112" s="63"/>
      <c r="G112" s="6"/>
      <c r="H112" s="6"/>
      <c r="I112" s="6"/>
    </row>
    <row r="113" spans="1:13" s="25" customFormat="1" x14ac:dyDescent="0.45">
      <c r="A113" s="30" t="s">
        <v>210</v>
      </c>
      <c r="B113" s="17" t="s">
        <v>175</v>
      </c>
      <c r="C113" s="31" t="s">
        <v>168</v>
      </c>
      <c r="D113" s="26" t="s">
        <v>391</v>
      </c>
      <c r="E113" s="63"/>
      <c r="F113" s="63"/>
      <c r="G113" s="6"/>
      <c r="H113" s="6"/>
      <c r="I113" s="6"/>
    </row>
    <row r="114" spans="1:13" s="25" customFormat="1" x14ac:dyDescent="0.45">
      <c r="A114" s="27" t="s">
        <v>92</v>
      </c>
      <c r="B114" s="36" t="s">
        <v>173</v>
      </c>
      <c r="D114" s="37"/>
      <c r="E114" s="63"/>
      <c r="F114" s="63"/>
      <c r="G114" s="6"/>
      <c r="H114" s="6"/>
      <c r="I114" s="6"/>
    </row>
    <row r="115" spans="1:13" s="25" customFormat="1" x14ac:dyDescent="0.45">
      <c r="A115" s="30" t="s">
        <v>211</v>
      </c>
      <c r="B115" s="38" t="s">
        <v>175</v>
      </c>
      <c r="D115" s="37"/>
      <c r="E115" s="63"/>
      <c r="F115" s="63"/>
      <c r="G115" s="6"/>
      <c r="H115" s="6"/>
      <c r="I115" s="6"/>
    </row>
    <row r="116" spans="1:13" s="25" customFormat="1" x14ac:dyDescent="0.45">
      <c r="A116" s="30" t="s">
        <v>212</v>
      </c>
      <c r="B116" s="38" t="s">
        <v>175</v>
      </c>
      <c r="D116" s="38"/>
      <c r="E116" s="63"/>
      <c r="F116" s="63"/>
      <c r="G116" s="6"/>
      <c r="H116" s="6"/>
      <c r="I116" s="6"/>
    </row>
    <row r="117" spans="1:13" x14ac:dyDescent="0.45">
      <c r="A117" s="19" t="s">
        <v>93</v>
      </c>
      <c r="B117" s="17" t="s">
        <v>170</v>
      </c>
      <c r="C117" s="22" t="s">
        <v>391</v>
      </c>
      <c r="D117" s="20" t="s">
        <v>391</v>
      </c>
      <c r="E117" s="60"/>
      <c r="F117" s="60"/>
    </row>
    <row r="118" spans="1:13" x14ac:dyDescent="0.45">
      <c r="A118" s="19" t="s">
        <v>94</v>
      </c>
      <c r="B118" s="17" t="s">
        <v>170</v>
      </c>
      <c r="C118" s="22" t="s">
        <v>391</v>
      </c>
      <c r="D118" s="20" t="s">
        <v>391</v>
      </c>
      <c r="E118" s="60"/>
      <c r="F118" s="60"/>
    </row>
    <row r="119" spans="1:13" x14ac:dyDescent="0.45">
      <c r="A119" s="19" t="s">
        <v>95</v>
      </c>
      <c r="B119" s="17" t="s">
        <v>170</v>
      </c>
      <c r="C119" s="28" t="s">
        <v>184</v>
      </c>
      <c r="D119" s="29" t="s">
        <v>184</v>
      </c>
      <c r="E119" s="60" t="s">
        <v>403</v>
      </c>
      <c r="F119" s="60"/>
      <c r="M119" t="s">
        <v>398</v>
      </c>
    </row>
    <row r="120" spans="1:13" x14ac:dyDescent="0.45">
      <c r="A120" s="19" t="s">
        <v>96</v>
      </c>
      <c r="B120" s="17" t="s">
        <v>170</v>
      </c>
      <c r="C120" s="22" t="s">
        <v>391</v>
      </c>
      <c r="D120" s="20" t="s">
        <v>391</v>
      </c>
      <c r="E120" s="60"/>
      <c r="F120" s="60"/>
    </row>
    <row r="121" spans="1:13" s="25" customFormat="1" x14ac:dyDescent="0.45">
      <c r="A121" s="30" t="s">
        <v>213</v>
      </c>
      <c r="B121" s="17" t="s">
        <v>175</v>
      </c>
      <c r="C121" s="31" t="s">
        <v>168</v>
      </c>
      <c r="D121" s="26"/>
      <c r="E121" s="63"/>
      <c r="F121" s="63"/>
      <c r="G121" s="6"/>
      <c r="H121" s="6"/>
      <c r="I121" s="6"/>
    </row>
    <row r="122" spans="1:13" s="25" customFormat="1" x14ac:dyDescent="0.45">
      <c r="A122" s="30" t="s">
        <v>214</v>
      </c>
      <c r="B122" s="17" t="s">
        <v>175</v>
      </c>
      <c r="C122" s="31" t="s">
        <v>168</v>
      </c>
      <c r="D122" s="26" t="s">
        <v>391</v>
      </c>
      <c r="E122" s="63"/>
      <c r="F122" s="63"/>
      <c r="G122" s="6"/>
      <c r="H122" s="6"/>
      <c r="I122" s="6"/>
    </row>
    <row r="123" spans="1:13" s="25" customFormat="1" x14ac:dyDescent="0.45">
      <c r="A123" s="27" t="s">
        <v>97</v>
      </c>
      <c r="B123" s="17" t="s">
        <v>173</v>
      </c>
      <c r="D123" s="26"/>
      <c r="E123" s="63"/>
      <c r="F123" s="63"/>
      <c r="G123" s="6"/>
      <c r="H123" s="6"/>
      <c r="I123" s="6"/>
    </row>
    <row r="124" spans="1:13" s="25" customFormat="1" ht="57" x14ac:dyDescent="0.45">
      <c r="A124" s="27" t="s">
        <v>98</v>
      </c>
      <c r="B124" s="17" t="s">
        <v>173</v>
      </c>
      <c r="D124" s="26"/>
      <c r="E124" s="63"/>
      <c r="F124" s="63"/>
      <c r="G124" s="8" t="s">
        <v>187</v>
      </c>
      <c r="H124" s="8" t="s">
        <v>215</v>
      </c>
      <c r="I124" s="8" t="s">
        <v>215</v>
      </c>
    </row>
    <row r="125" spans="1:13" ht="42.75" x14ac:dyDescent="0.45">
      <c r="A125" s="19" t="s">
        <v>99</v>
      </c>
      <c r="B125" s="17" t="s">
        <v>170</v>
      </c>
      <c r="C125" s="28" t="s">
        <v>184</v>
      </c>
      <c r="D125" s="29" t="s">
        <v>184</v>
      </c>
      <c r="E125" s="90" t="s">
        <v>402</v>
      </c>
      <c r="F125" s="65"/>
      <c r="G125" s="21" t="s">
        <v>169</v>
      </c>
      <c r="H125" s="21" t="s">
        <v>169</v>
      </c>
      <c r="I125" s="21" t="s">
        <v>169</v>
      </c>
      <c r="K125" t="s">
        <v>398</v>
      </c>
      <c r="L125" t="s">
        <v>398</v>
      </c>
      <c r="M125" t="s">
        <v>398</v>
      </c>
    </row>
    <row r="126" spans="1:13" x14ac:dyDescent="0.45">
      <c r="A126" s="19" t="s">
        <v>100</v>
      </c>
      <c r="B126" s="17" t="s">
        <v>173</v>
      </c>
      <c r="C126" s="28" t="s">
        <v>200</v>
      </c>
      <c r="D126" s="29" t="s">
        <v>200</v>
      </c>
      <c r="E126" s="90" t="s">
        <v>402</v>
      </c>
      <c r="F126" s="62" t="s">
        <v>142</v>
      </c>
    </row>
    <row r="127" spans="1:13" s="25" customFormat="1" x14ac:dyDescent="0.45">
      <c r="A127" s="30" t="s">
        <v>216</v>
      </c>
      <c r="B127" s="17" t="s">
        <v>175</v>
      </c>
      <c r="C127" s="31" t="s">
        <v>168</v>
      </c>
      <c r="D127" s="26"/>
      <c r="E127" s="63"/>
      <c r="F127" s="63"/>
      <c r="G127" s="6"/>
      <c r="H127" s="6"/>
      <c r="I127" s="6"/>
    </row>
    <row r="128" spans="1:13" s="25" customFormat="1" x14ac:dyDescent="0.45">
      <c r="A128" s="30" t="s">
        <v>217</v>
      </c>
      <c r="B128" s="17" t="s">
        <v>175</v>
      </c>
      <c r="C128" s="31" t="s">
        <v>168</v>
      </c>
      <c r="D128" s="26"/>
      <c r="E128" s="63"/>
      <c r="F128" s="63"/>
      <c r="G128" s="6"/>
      <c r="H128" s="6"/>
      <c r="I128" s="6"/>
    </row>
    <row r="129" spans="1:11" s="25" customFormat="1" x14ac:dyDescent="0.45">
      <c r="A129" s="30" t="s">
        <v>218</v>
      </c>
      <c r="B129" s="17" t="s">
        <v>175</v>
      </c>
      <c r="C129" s="31" t="s">
        <v>168</v>
      </c>
      <c r="D129" s="26"/>
      <c r="E129" s="63"/>
      <c r="F129" s="63"/>
      <c r="G129" s="6"/>
      <c r="H129" s="6"/>
      <c r="I129" s="6"/>
    </row>
    <row r="130" spans="1:11" s="25" customFormat="1" x14ac:dyDescent="0.45">
      <c r="A130" s="30" t="s">
        <v>219</v>
      </c>
      <c r="B130" s="17" t="s">
        <v>175</v>
      </c>
      <c r="C130" s="31" t="s">
        <v>168</v>
      </c>
      <c r="D130" s="26"/>
      <c r="E130" s="63"/>
      <c r="F130" s="63"/>
      <c r="G130" s="6"/>
      <c r="H130" s="6"/>
      <c r="I130" s="6"/>
    </row>
    <row r="131" spans="1:11" x14ac:dyDescent="0.45">
      <c r="A131" s="19" t="s">
        <v>101</v>
      </c>
      <c r="B131" s="17" t="s">
        <v>170</v>
      </c>
      <c r="C131" s="22" t="s">
        <v>391</v>
      </c>
      <c r="D131" s="20" t="s">
        <v>391</v>
      </c>
      <c r="E131" s="60"/>
      <c r="F131" s="60"/>
    </row>
    <row r="132" spans="1:11" x14ac:dyDescent="0.45">
      <c r="A132" s="19" t="s">
        <v>102</v>
      </c>
      <c r="B132" s="17" t="s">
        <v>170</v>
      </c>
      <c r="C132" s="22" t="s">
        <v>391</v>
      </c>
      <c r="D132" s="20" t="s">
        <v>391</v>
      </c>
      <c r="E132" s="60"/>
      <c r="F132" s="60"/>
      <c r="K132" t="s">
        <v>398</v>
      </c>
    </row>
    <row r="133" spans="1:11" x14ac:dyDescent="0.45">
      <c r="A133" s="19" t="s">
        <v>103</v>
      </c>
      <c r="B133" s="17" t="s">
        <v>173</v>
      </c>
      <c r="C133" s="22" t="s">
        <v>391</v>
      </c>
      <c r="D133" s="20" t="s">
        <v>391</v>
      </c>
      <c r="E133" s="60"/>
      <c r="F133" s="60"/>
    </row>
    <row r="134" spans="1:11" x14ac:dyDescent="0.45">
      <c r="A134" s="19" t="s">
        <v>104</v>
      </c>
      <c r="B134" s="17" t="s">
        <v>173</v>
      </c>
      <c r="C134" s="22" t="s">
        <v>391</v>
      </c>
      <c r="D134" s="20" t="s">
        <v>391</v>
      </c>
      <c r="E134" s="60"/>
      <c r="F134" s="60"/>
    </row>
    <row r="135" spans="1:11" s="25" customFormat="1" x14ac:dyDescent="0.45">
      <c r="A135" s="30" t="s">
        <v>220</v>
      </c>
      <c r="B135" s="17" t="s">
        <v>175</v>
      </c>
      <c r="C135" s="31" t="s">
        <v>168</v>
      </c>
      <c r="D135" s="37"/>
      <c r="E135" s="63"/>
      <c r="F135" s="63"/>
      <c r="G135" s="6"/>
      <c r="H135" s="6"/>
      <c r="I135" s="6"/>
    </row>
    <row r="136" spans="1:11" s="25" customFormat="1" x14ac:dyDescent="0.45">
      <c r="A136" s="27" t="s">
        <v>105</v>
      </c>
      <c r="B136" s="15" t="s">
        <v>170</v>
      </c>
      <c r="D136" s="37"/>
      <c r="E136" s="63"/>
      <c r="F136" s="63"/>
      <c r="G136" s="6"/>
      <c r="H136" s="6"/>
      <c r="I136" s="6"/>
    </row>
    <row r="137" spans="1:11" x14ac:dyDescent="0.45">
      <c r="A137" s="19" t="s">
        <v>106</v>
      </c>
      <c r="B137" s="17" t="s">
        <v>170</v>
      </c>
      <c r="C137" s="22" t="s">
        <v>391</v>
      </c>
      <c r="D137" s="20" t="s">
        <v>391</v>
      </c>
      <c r="E137" s="60"/>
      <c r="F137" s="60" t="s">
        <v>240</v>
      </c>
    </row>
    <row r="138" spans="1:11" x14ac:dyDescent="0.45">
      <c r="A138" s="19" t="s">
        <v>107</v>
      </c>
      <c r="B138" s="17" t="s">
        <v>170</v>
      </c>
      <c r="C138" s="22" t="s">
        <v>391</v>
      </c>
      <c r="D138" s="20" t="s">
        <v>391</v>
      </c>
      <c r="E138" s="60"/>
      <c r="F138" s="60" t="s">
        <v>240</v>
      </c>
    </row>
    <row r="139" spans="1:11" x14ac:dyDescent="0.45">
      <c r="A139" s="19" t="s">
        <v>108</v>
      </c>
      <c r="B139" s="17" t="s">
        <v>173</v>
      </c>
      <c r="C139" s="22" t="s">
        <v>391</v>
      </c>
      <c r="D139" s="20" t="s">
        <v>391</v>
      </c>
      <c r="E139" s="60"/>
      <c r="F139" s="62" t="s">
        <v>145</v>
      </c>
    </row>
    <row r="140" spans="1:11" x14ac:dyDescent="0.45">
      <c r="A140" s="19" t="s">
        <v>109</v>
      </c>
      <c r="B140" s="17" t="s">
        <v>173</v>
      </c>
      <c r="C140" s="22" t="s">
        <v>391</v>
      </c>
      <c r="D140" s="89"/>
      <c r="E140" s="60"/>
      <c r="F140" s="60"/>
    </row>
    <row r="141" spans="1:11" s="25" customFormat="1" x14ac:dyDescent="0.45">
      <c r="A141" s="30" t="s">
        <v>221</v>
      </c>
      <c r="B141" s="17" t="s">
        <v>175</v>
      </c>
      <c r="C141" s="31" t="s">
        <v>168</v>
      </c>
      <c r="D141" s="37"/>
      <c r="E141" s="63"/>
      <c r="F141" s="63"/>
      <c r="G141" s="6"/>
      <c r="H141" s="6"/>
      <c r="I141" s="6"/>
    </row>
    <row r="142" spans="1:11" s="25" customFormat="1" x14ac:dyDescent="0.45">
      <c r="A142" s="30" t="s">
        <v>222</v>
      </c>
      <c r="B142" s="17" t="s">
        <v>175</v>
      </c>
      <c r="C142" s="31" t="s">
        <v>168</v>
      </c>
      <c r="D142" s="37"/>
      <c r="E142" s="63"/>
      <c r="F142" s="63"/>
      <c r="G142" s="6"/>
      <c r="H142" s="6"/>
      <c r="I142" s="6"/>
    </row>
    <row r="143" spans="1:11" s="25" customFormat="1" x14ac:dyDescent="0.45">
      <c r="A143" s="27" t="s">
        <v>110</v>
      </c>
      <c r="B143" s="36" t="s">
        <v>170</v>
      </c>
      <c r="D143" s="37"/>
      <c r="E143" s="63"/>
      <c r="F143" s="63"/>
      <c r="G143" s="6"/>
      <c r="H143" s="6"/>
      <c r="I143" s="6"/>
    </row>
    <row r="144" spans="1:11" s="25" customFormat="1" x14ac:dyDescent="0.45">
      <c r="A144" s="27" t="s">
        <v>111</v>
      </c>
      <c r="B144" s="36" t="s">
        <v>173</v>
      </c>
      <c r="D144" s="37"/>
      <c r="E144" s="63"/>
      <c r="F144" s="63"/>
      <c r="G144" s="6"/>
      <c r="H144" s="6"/>
      <c r="I144" s="6"/>
    </row>
    <row r="145" spans="1:13" s="25" customFormat="1" x14ac:dyDescent="0.45">
      <c r="A145" s="30" t="s">
        <v>223</v>
      </c>
      <c r="B145" s="38" t="s">
        <v>175</v>
      </c>
      <c r="D145" s="37"/>
      <c r="E145" s="63"/>
      <c r="F145" s="63"/>
      <c r="G145" s="6"/>
      <c r="H145" s="6"/>
      <c r="I145" s="6"/>
    </row>
    <row r="146" spans="1:13" ht="42.75" x14ac:dyDescent="0.45">
      <c r="A146" s="19" t="s">
        <v>112</v>
      </c>
      <c r="B146" s="17" t="s">
        <v>170</v>
      </c>
      <c r="D146" s="20" t="s">
        <v>391</v>
      </c>
      <c r="E146" s="60"/>
      <c r="F146" s="60"/>
      <c r="G146" s="21" t="s">
        <v>169</v>
      </c>
      <c r="H146" s="21" t="s">
        <v>169</v>
      </c>
      <c r="I146" s="21" t="s">
        <v>169</v>
      </c>
      <c r="K146" t="s">
        <v>398</v>
      </c>
      <c r="L146" t="s">
        <v>398</v>
      </c>
      <c r="M146" t="s">
        <v>398</v>
      </c>
    </row>
    <row r="147" spans="1:13" x14ac:dyDescent="0.45">
      <c r="A147" s="19" t="s">
        <v>113</v>
      </c>
      <c r="B147" s="17" t="s">
        <v>173</v>
      </c>
      <c r="D147" s="89"/>
      <c r="E147" s="60"/>
      <c r="F147" s="60"/>
    </row>
    <row r="148" spans="1:13" s="24" customFormat="1" x14ac:dyDescent="0.45">
      <c r="A148" s="75" t="s">
        <v>114</v>
      </c>
      <c r="B148" s="76" t="s">
        <v>0</v>
      </c>
      <c r="D148" s="76"/>
      <c r="E148" s="77"/>
      <c r="F148" s="77"/>
      <c r="G148" s="73"/>
      <c r="H148" s="73"/>
      <c r="I148" s="73"/>
    </row>
    <row r="149" spans="1:13" x14ac:dyDescent="0.45">
      <c r="A149" s="27" t="s">
        <v>115</v>
      </c>
      <c r="B149" s="15" t="s">
        <v>0</v>
      </c>
      <c r="C149" s="22" t="s">
        <v>391</v>
      </c>
      <c r="D149" s="20" t="s">
        <v>391</v>
      </c>
      <c r="E149" s="60"/>
      <c r="F149" s="60"/>
    </row>
    <row r="150" spans="1:13" x14ac:dyDescent="0.45">
      <c r="A150" s="19" t="s">
        <v>117</v>
      </c>
      <c r="B150" s="17" t="s">
        <v>0</v>
      </c>
      <c r="C150" s="22" t="s">
        <v>391</v>
      </c>
      <c r="D150" s="20" t="s">
        <v>391</v>
      </c>
      <c r="E150" s="60"/>
      <c r="F150" s="60"/>
    </row>
    <row r="151" spans="1:13" x14ac:dyDescent="0.45">
      <c r="A151" s="19" t="s">
        <v>118</v>
      </c>
      <c r="B151" s="17" t="s">
        <v>0</v>
      </c>
      <c r="C151" s="22" t="s">
        <v>391</v>
      </c>
      <c r="D151" s="20" t="s">
        <v>400</v>
      </c>
      <c r="E151" s="60"/>
      <c r="F151" s="60"/>
    </row>
    <row r="152" spans="1:13" x14ac:dyDescent="0.45">
      <c r="A152" s="19" t="s">
        <v>119</v>
      </c>
      <c r="B152" s="17" t="s">
        <v>0</v>
      </c>
      <c r="C152" s="22" t="s">
        <v>391</v>
      </c>
      <c r="D152" s="20" t="s">
        <v>391</v>
      </c>
      <c r="E152" s="60"/>
      <c r="F152" s="60"/>
    </row>
    <row r="153" spans="1:13" x14ac:dyDescent="0.45">
      <c r="A153" s="27" t="s">
        <v>120</v>
      </c>
      <c r="B153" s="15" t="s">
        <v>0</v>
      </c>
      <c r="E153" s="60"/>
      <c r="F153" s="60"/>
    </row>
    <row r="154" spans="1:13" x14ac:dyDescent="0.45">
      <c r="A154" s="27" t="s">
        <v>121</v>
      </c>
      <c r="B154" s="15" t="s">
        <v>0</v>
      </c>
      <c r="E154" s="60"/>
      <c r="F154" s="60"/>
    </row>
    <row r="155" spans="1:13" x14ac:dyDescent="0.45">
      <c r="A155" s="18" t="s">
        <v>122</v>
      </c>
      <c r="B155" s="15" t="s">
        <v>0</v>
      </c>
      <c r="E155" s="60"/>
      <c r="F155" s="60"/>
    </row>
    <row r="156" spans="1:13" x14ac:dyDescent="0.45">
      <c r="A156" s="19" t="s">
        <v>123</v>
      </c>
      <c r="B156" s="15" t="s">
        <v>0</v>
      </c>
      <c r="E156" s="60"/>
      <c r="F156" s="60"/>
    </row>
    <row r="157" spans="1:13" x14ac:dyDescent="0.45">
      <c r="A157" s="19" t="s">
        <v>124</v>
      </c>
      <c r="B157" s="15" t="s">
        <v>0</v>
      </c>
      <c r="E157" s="60"/>
      <c r="F157" s="60"/>
    </row>
    <row r="158" spans="1:13" x14ac:dyDescent="0.45">
      <c r="A158" s="19" t="s">
        <v>125</v>
      </c>
      <c r="B158" s="15" t="s">
        <v>0</v>
      </c>
      <c r="E158" s="60"/>
      <c r="F158" s="60"/>
    </row>
    <row r="159" spans="1:13" x14ac:dyDescent="0.45">
      <c r="A159" s="19" t="s">
        <v>126</v>
      </c>
      <c r="B159" s="15" t="s">
        <v>0</v>
      </c>
      <c r="E159" s="60"/>
      <c r="F159" s="60"/>
    </row>
    <row r="160" spans="1:13" x14ac:dyDescent="0.45">
      <c r="A160" s="19" t="s">
        <v>127</v>
      </c>
      <c r="B160" s="15" t="s">
        <v>0</v>
      </c>
      <c r="E160" s="60"/>
      <c r="F160" s="60"/>
    </row>
    <row r="161" spans="1:13" x14ac:dyDescent="0.45">
      <c r="A161" s="19" t="s">
        <v>128</v>
      </c>
      <c r="B161" s="15" t="s">
        <v>0</v>
      </c>
      <c r="E161" s="60"/>
      <c r="F161" s="60"/>
    </row>
    <row r="162" spans="1:13" x14ac:dyDescent="0.45">
      <c r="A162" s="19" t="s">
        <v>129</v>
      </c>
      <c r="B162" s="15" t="s">
        <v>0</v>
      </c>
      <c r="E162" s="60"/>
      <c r="F162" s="60"/>
    </row>
    <row r="163" spans="1:13" x14ac:dyDescent="0.45">
      <c r="A163" s="19" t="s">
        <v>130</v>
      </c>
      <c r="B163" s="15" t="s">
        <v>0</v>
      </c>
      <c r="E163" s="60"/>
      <c r="F163" s="60"/>
    </row>
    <row r="164" spans="1:13" x14ac:dyDescent="0.45">
      <c r="A164" s="24" t="s">
        <v>131</v>
      </c>
      <c r="B164" s="15"/>
      <c r="E164" s="60"/>
      <c r="F164" s="60"/>
    </row>
    <row r="165" spans="1:13" x14ac:dyDescent="0.45">
      <c r="A165" s="24" t="s">
        <v>132</v>
      </c>
      <c r="B165" s="15"/>
      <c r="E165" s="60"/>
      <c r="F165" s="60"/>
    </row>
    <row r="166" spans="1:13" x14ac:dyDescent="0.45">
      <c r="A166" t="s">
        <v>133</v>
      </c>
      <c r="B166" s="17" t="s">
        <v>134</v>
      </c>
      <c r="C166" s="35" t="s">
        <v>401</v>
      </c>
      <c r="D166" s="20" t="s">
        <v>401</v>
      </c>
      <c r="E166" s="60"/>
      <c r="F166" s="60"/>
    </row>
    <row r="167" spans="1:13" x14ac:dyDescent="0.45">
      <c r="A167" t="s">
        <v>135</v>
      </c>
      <c r="B167" s="17" t="s">
        <v>134</v>
      </c>
      <c r="C167" s="35" t="s">
        <v>401</v>
      </c>
      <c r="D167" s="20" t="s">
        <v>401</v>
      </c>
      <c r="E167" s="60"/>
      <c r="F167" s="60"/>
    </row>
    <row r="168" spans="1:13" x14ac:dyDescent="0.45">
      <c r="A168" s="9" t="s">
        <v>136</v>
      </c>
      <c r="B168" s="41" t="s">
        <v>134</v>
      </c>
      <c r="C168" s="35" t="s">
        <v>401</v>
      </c>
      <c r="D168" s="20" t="s">
        <v>401</v>
      </c>
      <c r="E168" s="60"/>
      <c r="F168" s="60"/>
    </row>
    <row r="169" spans="1:13" x14ac:dyDescent="0.45">
      <c r="A169" t="s">
        <v>224</v>
      </c>
      <c r="B169" s="17">
        <f>COUNTIF($B$2:$B$168,"A")</f>
        <v>31</v>
      </c>
      <c r="C169" s="43">
        <f t="shared" ref="C169:J169" si="0">COUNTIFS($B$2:$B$168,"=A",C$2:C$168,"*")</f>
        <v>27</v>
      </c>
      <c r="D169" s="49">
        <f t="shared" si="0"/>
        <v>29</v>
      </c>
      <c r="E169" s="67">
        <f t="shared" si="0"/>
        <v>6</v>
      </c>
      <c r="F169" s="67">
        <f t="shared" si="0"/>
        <v>6</v>
      </c>
      <c r="G169" s="43">
        <f t="shared" si="0"/>
        <v>7</v>
      </c>
      <c r="H169" s="43">
        <f t="shared" si="0"/>
        <v>5</v>
      </c>
      <c r="I169" s="43">
        <f t="shared" si="0"/>
        <v>7</v>
      </c>
      <c r="J169" s="43">
        <f t="shared" si="0"/>
        <v>2</v>
      </c>
      <c r="K169" s="43">
        <f t="shared" ref="K169:M169" si="1">COUNTIFS($B$2:$B$168,"=A",K$2:K$168,"*")</f>
        <v>12</v>
      </c>
      <c r="L169" s="43">
        <f t="shared" si="1"/>
        <v>7</v>
      </c>
      <c r="M169" s="43">
        <f t="shared" si="1"/>
        <v>8</v>
      </c>
    </row>
    <row r="170" spans="1:13" x14ac:dyDescent="0.45">
      <c r="A170" t="s">
        <v>225</v>
      </c>
      <c r="B170" s="17">
        <f>COUNTIF($B$2:$B$168,"AA")</f>
        <v>24</v>
      </c>
      <c r="C170" s="44">
        <f t="shared" ref="C170:J170" si="2">COUNTIFS($B$2:$B$168,"=AA",C$2:C$168,"*")</f>
        <v>19</v>
      </c>
      <c r="D170" s="50">
        <f t="shared" si="2"/>
        <v>18</v>
      </c>
      <c r="E170" s="68">
        <f t="shared" si="2"/>
        <v>3</v>
      </c>
      <c r="F170" s="68">
        <f t="shared" si="2"/>
        <v>2</v>
      </c>
      <c r="G170" s="44">
        <f t="shared" si="2"/>
        <v>3</v>
      </c>
      <c r="H170" s="44">
        <f t="shared" si="2"/>
        <v>3</v>
      </c>
      <c r="I170" s="44">
        <f t="shared" si="2"/>
        <v>4</v>
      </c>
      <c r="J170" s="44">
        <f t="shared" si="2"/>
        <v>0</v>
      </c>
      <c r="K170" s="44">
        <f t="shared" ref="K170:M170" si="3">COUNTIFS($B$2:$B$168,"=AA",K$2:K$168,"*")</f>
        <v>1</v>
      </c>
      <c r="L170" s="44">
        <f t="shared" si="3"/>
        <v>1</v>
      </c>
      <c r="M170" s="44">
        <f t="shared" si="3"/>
        <v>2</v>
      </c>
    </row>
    <row r="171" spans="1:13" s="25" customFormat="1" x14ac:dyDescent="0.45">
      <c r="A171" s="39" t="s">
        <v>226</v>
      </c>
      <c r="B171" s="37">
        <f>COUNTIF($B$2:$B$168,"AAA")</f>
        <v>31</v>
      </c>
      <c r="C171" s="45">
        <v>0</v>
      </c>
      <c r="D171" s="51">
        <v>1</v>
      </c>
      <c r="E171" s="69">
        <v>6</v>
      </c>
      <c r="F171" s="69">
        <v>7</v>
      </c>
      <c r="G171" s="45">
        <v>2</v>
      </c>
      <c r="H171" s="45">
        <v>3</v>
      </c>
      <c r="I171" s="45">
        <v>4</v>
      </c>
      <c r="J171" s="45">
        <v>5</v>
      </c>
      <c r="K171" s="45">
        <v>6</v>
      </c>
      <c r="L171" s="45">
        <v>7</v>
      </c>
      <c r="M171" s="45">
        <v>8</v>
      </c>
    </row>
    <row r="172" spans="1:13" s="33" customFormat="1" x14ac:dyDescent="0.45">
      <c r="A172" t="s">
        <v>228</v>
      </c>
      <c r="B172" s="42">
        <f>COUNTIF($B$2:$B$168,"shall")</f>
        <v>73</v>
      </c>
      <c r="C172" s="44">
        <f t="shared" ref="C172:J172" si="4">COUNTIFS($B$2:$B$168,"=shall",C$2:C$168,"*")</f>
        <v>12</v>
      </c>
      <c r="D172" s="50">
        <f t="shared" si="4"/>
        <v>13</v>
      </c>
      <c r="E172" s="68">
        <f t="shared" si="4"/>
        <v>0</v>
      </c>
      <c r="F172" s="68">
        <f t="shared" si="4"/>
        <v>0</v>
      </c>
      <c r="G172" s="44">
        <f t="shared" si="4"/>
        <v>1</v>
      </c>
      <c r="H172" s="44">
        <f t="shared" si="4"/>
        <v>0</v>
      </c>
      <c r="I172" s="44">
        <f t="shared" si="4"/>
        <v>0</v>
      </c>
      <c r="J172" s="44">
        <f t="shared" si="4"/>
        <v>0</v>
      </c>
      <c r="K172" s="44">
        <f t="shared" ref="K172:M172" si="5">COUNTIFS($B$2:$B$168,"=shall",K$2:K$168,"*")</f>
        <v>0</v>
      </c>
      <c r="L172" s="44">
        <f t="shared" si="5"/>
        <v>0</v>
      </c>
      <c r="M172" s="44">
        <f t="shared" si="5"/>
        <v>0</v>
      </c>
    </row>
    <row r="173" spans="1:13" s="25" customFormat="1" x14ac:dyDescent="0.45">
      <c r="A173" s="48" t="s">
        <v>227</v>
      </c>
      <c r="B173" s="46">
        <f>COUNTIF($B$2:$B$168,"should")</f>
        <v>3</v>
      </c>
      <c r="C173" s="47">
        <v>0</v>
      </c>
      <c r="D173" s="52">
        <v>1</v>
      </c>
      <c r="E173" s="70">
        <v>6</v>
      </c>
      <c r="F173" s="70">
        <v>7</v>
      </c>
      <c r="G173" s="47">
        <v>2</v>
      </c>
      <c r="H173" s="47">
        <v>3</v>
      </c>
      <c r="I173" s="47">
        <v>4</v>
      </c>
      <c r="J173" s="47">
        <v>5</v>
      </c>
      <c r="K173" s="47">
        <v>6</v>
      </c>
      <c r="L173" s="47">
        <v>7</v>
      </c>
      <c r="M173" s="47">
        <v>8</v>
      </c>
    </row>
    <row r="174" spans="1:13" x14ac:dyDescent="0.45">
      <c r="B174" s="17">
        <f t="shared" ref="B174" si="6">SUM(B169:B173)</f>
        <v>162</v>
      </c>
      <c r="C174" s="16">
        <f>SUM(C169:C173)</f>
        <v>58</v>
      </c>
      <c r="D174" s="40">
        <f t="shared" ref="D174:J174" si="7">SUM(D169:D173)</f>
        <v>62</v>
      </c>
      <c r="E174" s="71">
        <f>SUM(E169:E173)</f>
        <v>21</v>
      </c>
      <c r="F174" s="71">
        <f>SUM(F169:F173)</f>
        <v>22</v>
      </c>
      <c r="G174" s="16">
        <f t="shared" si="7"/>
        <v>15</v>
      </c>
      <c r="H174" s="16">
        <f t="shared" si="7"/>
        <v>14</v>
      </c>
      <c r="I174" s="16">
        <f t="shared" si="7"/>
        <v>19</v>
      </c>
      <c r="J174" s="16">
        <f t="shared" si="7"/>
        <v>12</v>
      </c>
      <c r="K174" s="16">
        <f t="shared" ref="K174:M174" si="8">SUM(K169:K173)</f>
        <v>25</v>
      </c>
      <c r="L174" s="16">
        <f t="shared" si="8"/>
        <v>22</v>
      </c>
      <c r="M174" s="16">
        <f t="shared" si="8"/>
        <v>26</v>
      </c>
    </row>
    <row r="175" spans="1:13" x14ac:dyDescent="0.45">
      <c r="B175" s="17">
        <f>B174-B171-B173</f>
        <v>128</v>
      </c>
      <c r="C175" s="16">
        <f>C$169+C$170+C172</f>
        <v>58</v>
      </c>
      <c r="D175" s="40">
        <f t="shared" ref="D175:J175" si="9">D$169+D$170+D172</f>
        <v>60</v>
      </c>
      <c r="E175" s="71">
        <f>E$169+E$170+E172</f>
        <v>9</v>
      </c>
      <c r="F175" s="71">
        <f>F$169+F$170+F172</f>
        <v>8</v>
      </c>
      <c r="G175" s="16">
        <f t="shared" si="9"/>
        <v>11</v>
      </c>
      <c r="H175" s="16">
        <f t="shared" si="9"/>
        <v>8</v>
      </c>
      <c r="I175" s="16">
        <f t="shared" si="9"/>
        <v>11</v>
      </c>
      <c r="J175" s="16">
        <f t="shared" si="9"/>
        <v>2</v>
      </c>
      <c r="K175" s="16">
        <f t="shared" ref="K175:M175" si="10">K$169+K$170+K172</f>
        <v>13</v>
      </c>
      <c r="L175" s="16">
        <f t="shared" si="10"/>
        <v>8</v>
      </c>
      <c r="M175" s="16">
        <f t="shared" si="10"/>
        <v>10</v>
      </c>
    </row>
  </sheetData>
  <conditionalFormatting sqref="A1:A67">
    <cfRule type="cellIs" dxfId="22" priority="7" operator="equal">
      <formula>""</formula>
    </cfRule>
  </conditionalFormatting>
  <conditionalFormatting sqref="A72:A76 A78:A82 A87:A92 A94:A96 A101">
    <cfRule type="cellIs" dxfId="21" priority="23" operator="equal">
      <formula>""</formula>
    </cfRule>
  </conditionalFormatting>
  <conditionalFormatting sqref="A104:A111">
    <cfRule type="cellIs" dxfId="20" priority="22" operator="equal">
      <formula>""</formula>
    </cfRule>
  </conditionalFormatting>
  <conditionalFormatting sqref="A114">
    <cfRule type="cellIs" dxfId="19" priority="21" operator="equal">
      <formula>""</formula>
    </cfRule>
  </conditionalFormatting>
  <conditionalFormatting sqref="A117:A120">
    <cfRule type="cellIs" dxfId="18" priority="20" operator="equal">
      <formula>""</formula>
    </cfRule>
  </conditionalFormatting>
  <conditionalFormatting sqref="A123:A126 A131:A134">
    <cfRule type="cellIs" dxfId="17" priority="19" operator="equal">
      <formula>""</formula>
    </cfRule>
  </conditionalFormatting>
  <conditionalFormatting sqref="A136:A140">
    <cfRule type="cellIs" dxfId="16" priority="18" operator="equal">
      <formula>""</formula>
    </cfRule>
  </conditionalFormatting>
  <conditionalFormatting sqref="A143:A144">
    <cfRule type="cellIs" dxfId="15" priority="17" operator="equal">
      <formula>""</formula>
    </cfRule>
  </conditionalFormatting>
  <conditionalFormatting sqref="A166:A168">
    <cfRule type="cellIs" dxfId="14" priority="12" operator="equal">
      <formula>""</formula>
    </cfRule>
  </conditionalFormatting>
  <conditionalFormatting sqref="C149:C152 C169:M173">
    <cfRule type="cellIs" dxfId="13" priority="15" operator="equal">
      <formula>"manuell"</formula>
    </cfRule>
  </conditionalFormatting>
  <conditionalFormatting sqref="C1:F1 C3 D30:F32 C117:C122 C125:C135 C137:C142 C166:C168 C193:C1048576 C53:F113">
    <cfRule type="cellIs" dxfId="12" priority="26" operator="equal">
      <formula>"manuell"</formula>
    </cfRule>
  </conditionalFormatting>
  <conditionalFormatting sqref="D140">
    <cfRule type="cellIs" dxfId="11" priority="6" operator="equal">
      <formula>"manuell"</formula>
    </cfRule>
  </conditionalFormatting>
  <conditionalFormatting sqref="D147">
    <cfRule type="cellIs" dxfId="10" priority="5" operator="equal">
      <formula>"manuell"</formula>
    </cfRule>
  </conditionalFormatting>
  <conditionalFormatting sqref="D2:F2">
    <cfRule type="cellIs" dxfId="9" priority="27" operator="equal">
      <formula>"nicht abgedeckt"</formula>
    </cfRule>
  </conditionalFormatting>
  <conditionalFormatting sqref="D2:F4 D24:F24 D27:F28 D36:F36 D43:F50 D117:F118 D127:F131 D125:D126 F125:F126 D120:F124 D119 F119">
    <cfRule type="cellIs" dxfId="8" priority="31" operator="equal">
      <formula>"manuell"</formula>
    </cfRule>
  </conditionalFormatting>
  <conditionalFormatting sqref="F132">
    <cfRule type="cellIs" dxfId="7" priority="11" operator="equal">
      <formula>"manuell"</formula>
    </cfRule>
  </conditionalFormatting>
  <conditionalFormatting sqref="F137:F138">
    <cfRule type="cellIs" dxfId="6" priority="9" operator="equal">
      <formula>"manuell"</formula>
    </cfRule>
  </conditionalFormatting>
  <conditionalFormatting sqref="E125">
    <cfRule type="cellIs" dxfId="3" priority="4" operator="equal">
      <formula>"manuell"</formula>
    </cfRule>
  </conditionalFormatting>
  <conditionalFormatting sqref="E126">
    <cfRule type="cellIs" dxfId="2" priority="3" operator="equal">
      <formula>"manuell"</formula>
    </cfRule>
  </conditionalFormatting>
  <conditionalFormatting sqref="E119">
    <cfRule type="cellIs" dxfId="0" priority="1" operator="equal">
      <formula>"manuell"</formula>
    </cfRule>
  </conditionalFormatting>
  <pageMargins left="0.7" right="0.7" top="0.78740157500000008" bottom="0.78740157500000008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460B1-44F6-4691-B7D4-3C2A0F4EA307}">
  <dimension ref="A1:EL224"/>
  <sheetViews>
    <sheetView zoomScale="145" zoomScaleNormal="145" workbookViewId="0">
      <pane ySplit="1" topLeftCell="A208" activePane="bottomLeft" state="frozen"/>
      <selection pane="bottomLeft" activeCell="B1" sqref="B1"/>
    </sheetView>
  </sheetViews>
  <sheetFormatPr baseColWidth="10" defaultColWidth="11.46484375" defaultRowHeight="14.25" x14ac:dyDescent="0.45"/>
  <cols>
    <col min="1" max="1" width="46.46484375" customWidth="1"/>
    <col min="2" max="2" width="6" style="17" customWidth="1"/>
    <col min="3" max="4" width="12.46484375" style="5" customWidth="1"/>
    <col min="5" max="5" width="11.265625" style="5" customWidth="1"/>
    <col min="6" max="8" width="11.265625" customWidth="1"/>
  </cols>
  <sheetData>
    <row r="1" spans="1:138" s="9" customFormat="1" ht="185.65" customHeight="1" x14ac:dyDescent="0.45">
      <c r="A1" s="78" t="s">
        <v>243</v>
      </c>
      <c r="B1" s="3" t="s">
        <v>247</v>
      </c>
      <c r="C1" s="79" t="s">
        <v>244</v>
      </c>
      <c r="D1" s="79" t="s">
        <v>245</v>
      </c>
      <c r="E1" s="79" t="s">
        <v>246</v>
      </c>
      <c r="F1" s="1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</row>
    <row r="2" spans="1:138" x14ac:dyDescent="0.45">
      <c r="A2" s="33" t="s">
        <v>248</v>
      </c>
      <c r="B2" s="82" t="s">
        <v>0</v>
      </c>
      <c r="C2" s="21"/>
    </row>
    <row r="3" spans="1:138" x14ac:dyDescent="0.45">
      <c r="A3" s="33" t="s">
        <v>249</v>
      </c>
      <c r="B3" s="82" t="s">
        <v>0</v>
      </c>
    </row>
    <row r="4" spans="1:138" x14ac:dyDescent="0.45">
      <c r="A4" s="33" t="s">
        <v>250</v>
      </c>
      <c r="B4" s="82" t="s">
        <v>0</v>
      </c>
    </row>
    <row r="5" spans="1:138" x14ac:dyDescent="0.45">
      <c r="A5" s="33" t="s">
        <v>251</v>
      </c>
      <c r="B5" s="82" t="s">
        <v>0</v>
      </c>
    </row>
    <row r="6" spans="1:138" x14ac:dyDescent="0.45">
      <c r="A6" s="33" t="s">
        <v>252</v>
      </c>
      <c r="B6" s="82" t="s">
        <v>0</v>
      </c>
    </row>
    <row r="7" spans="1:138" x14ac:dyDescent="0.45">
      <c r="A7" s="33" t="s">
        <v>253</v>
      </c>
      <c r="B7" s="82" t="s">
        <v>0</v>
      </c>
    </row>
    <row r="8" spans="1:138" x14ac:dyDescent="0.45">
      <c r="A8" s="33" t="s">
        <v>254</v>
      </c>
      <c r="B8" s="82" t="s">
        <v>0</v>
      </c>
    </row>
    <row r="9" spans="1:138" x14ac:dyDescent="0.45">
      <c r="A9" s="33" t="s">
        <v>255</v>
      </c>
      <c r="B9" s="82" t="s">
        <v>0</v>
      </c>
    </row>
    <row r="10" spans="1:138" x14ac:dyDescent="0.45">
      <c r="A10" s="33" t="s">
        <v>256</v>
      </c>
      <c r="B10" s="82" t="s">
        <v>0</v>
      </c>
    </row>
    <row r="11" spans="1:138" x14ac:dyDescent="0.45">
      <c r="A11" s="33" t="s">
        <v>257</v>
      </c>
      <c r="B11" s="82" t="s">
        <v>0</v>
      </c>
    </row>
    <row r="12" spans="1:138" x14ac:dyDescent="0.45">
      <c r="A12" s="33" t="s">
        <v>258</v>
      </c>
      <c r="B12" s="82" t="s">
        <v>0</v>
      </c>
    </row>
    <row r="13" spans="1:138" x14ac:dyDescent="0.45">
      <c r="A13" s="33" t="s">
        <v>259</v>
      </c>
      <c r="B13" s="82" t="s">
        <v>0</v>
      </c>
    </row>
    <row r="14" spans="1:138" x14ac:dyDescent="0.45">
      <c r="A14" s="33" t="s">
        <v>260</v>
      </c>
      <c r="B14" s="82" t="s">
        <v>0</v>
      </c>
    </row>
    <row r="15" spans="1:138" x14ac:dyDescent="0.45">
      <c r="A15" s="80" t="s">
        <v>261</v>
      </c>
      <c r="B15" s="82" t="s">
        <v>0</v>
      </c>
    </row>
    <row r="16" spans="1:138" x14ac:dyDescent="0.45">
      <c r="A16" s="19" t="s">
        <v>262</v>
      </c>
      <c r="B16" s="82" t="s">
        <v>0</v>
      </c>
    </row>
    <row r="17" spans="1:2" x14ac:dyDescent="0.45">
      <c r="A17" s="19" t="s">
        <v>263</v>
      </c>
      <c r="B17" s="82" t="s">
        <v>0</v>
      </c>
    </row>
    <row r="18" spans="1:2" x14ac:dyDescent="0.45">
      <c r="A18" s="19" t="s">
        <v>264</v>
      </c>
      <c r="B18" s="82" t="s">
        <v>0</v>
      </c>
    </row>
    <row r="19" spans="1:2" x14ac:dyDescent="0.45">
      <c r="A19" s="19" t="s">
        <v>265</v>
      </c>
      <c r="B19" s="82" t="s">
        <v>0</v>
      </c>
    </row>
    <row r="20" spans="1:2" x14ac:dyDescent="0.45">
      <c r="A20" s="19" t="s">
        <v>266</v>
      </c>
      <c r="B20" s="82" t="s">
        <v>0</v>
      </c>
    </row>
    <row r="21" spans="1:2" x14ac:dyDescent="0.45">
      <c r="A21" s="19" t="s">
        <v>267</v>
      </c>
      <c r="B21" s="82" t="s">
        <v>0</v>
      </c>
    </row>
    <row r="22" spans="1:2" x14ac:dyDescent="0.45">
      <c r="A22" s="19" t="s">
        <v>268</v>
      </c>
      <c r="B22" s="82" t="s">
        <v>0</v>
      </c>
    </row>
    <row r="23" spans="1:2" x14ac:dyDescent="0.45">
      <c r="A23" s="33" t="s">
        <v>269</v>
      </c>
      <c r="B23" s="82" t="s">
        <v>0</v>
      </c>
    </row>
    <row r="24" spans="1:2" x14ac:dyDescent="0.45">
      <c r="A24" s="33" t="s">
        <v>1</v>
      </c>
      <c r="B24" s="82" t="s">
        <v>0</v>
      </c>
    </row>
    <row r="25" spans="1:2" x14ac:dyDescent="0.45">
      <c r="A25" s="33" t="s">
        <v>2</v>
      </c>
      <c r="B25" s="82" t="s">
        <v>0</v>
      </c>
    </row>
    <row r="26" spans="1:2" x14ac:dyDescent="0.45">
      <c r="A26" s="33" t="s">
        <v>3</v>
      </c>
      <c r="B26" s="82" t="s">
        <v>0</v>
      </c>
    </row>
    <row r="27" spans="1:2" x14ac:dyDescent="0.45">
      <c r="A27" s="33" t="s">
        <v>4</v>
      </c>
      <c r="B27" s="82" t="s">
        <v>0</v>
      </c>
    </row>
    <row r="28" spans="1:2" x14ac:dyDescent="0.45">
      <c r="A28" s="33" t="s">
        <v>5</v>
      </c>
      <c r="B28" s="82" t="s">
        <v>0</v>
      </c>
    </row>
    <row r="29" spans="1:2" x14ac:dyDescent="0.45">
      <c r="A29" s="33" t="s">
        <v>6</v>
      </c>
      <c r="B29" s="82" t="s">
        <v>0</v>
      </c>
    </row>
    <row r="30" spans="1:2" x14ac:dyDescent="0.45">
      <c r="A30" s="33" t="s">
        <v>7</v>
      </c>
      <c r="B30" s="82" t="s">
        <v>0</v>
      </c>
    </row>
    <row r="31" spans="1:2" x14ac:dyDescent="0.45">
      <c r="A31" s="33" t="s">
        <v>8</v>
      </c>
      <c r="B31" s="82" t="s">
        <v>0</v>
      </c>
    </row>
    <row r="32" spans="1:2" x14ac:dyDescent="0.45">
      <c r="A32" s="33" t="s">
        <v>9</v>
      </c>
      <c r="B32" s="82" t="s">
        <v>0</v>
      </c>
    </row>
    <row r="33" spans="1:2" x14ac:dyDescent="0.45">
      <c r="A33" s="33" t="s">
        <v>10</v>
      </c>
      <c r="B33" s="82" t="s">
        <v>0</v>
      </c>
    </row>
    <row r="34" spans="1:2" x14ac:dyDescent="0.45">
      <c r="A34" s="33" t="s">
        <v>11</v>
      </c>
      <c r="B34" s="82" t="s">
        <v>0</v>
      </c>
    </row>
    <row r="35" spans="1:2" x14ac:dyDescent="0.45">
      <c r="A35" s="33" t="s">
        <v>12</v>
      </c>
      <c r="B35" s="82" t="s">
        <v>0</v>
      </c>
    </row>
    <row r="36" spans="1:2" x14ac:dyDescent="0.45">
      <c r="A36" s="33" t="s">
        <v>13</v>
      </c>
      <c r="B36" s="82" t="s">
        <v>0</v>
      </c>
    </row>
    <row r="37" spans="1:2" x14ac:dyDescent="0.45">
      <c r="A37" s="23" t="s">
        <v>14</v>
      </c>
      <c r="B37" s="82" t="s">
        <v>0</v>
      </c>
    </row>
    <row r="38" spans="1:2" x14ac:dyDescent="0.45">
      <c r="A38" s="23" t="s">
        <v>15</v>
      </c>
      <c r="B38" s="82" t="s">
        <v>0</v>
      </c>
    </row>
    <row r="39" spans="1:2" x14ac:dyDescent="0.45">
      <c r="A39" s="23" t="s">
        <v>16</v>
      </c>
      <c r="B39" s="82" t="s">
        <v>0</v>
      </c>
    </row>
    <row r="40" spans="1:2" x14ac:dyDescent="0.45">
      <c r="A40" s="23" t="s">
        <v>17</v>
      </c>
      <c r="B40" s="82" t="s">
        <v>0</v>
      </c>
    </row>
    <row r="41" spans="1:2" x14ac:dyDescent="0.45">
      <c r="A41" s="23" t="s">
        <v>18</v>
      </c>
      <c r="B41" s="82" t="s">
        <v>0</v>
      </c>
    </row>
    <row r="42" spans="1:2" x14ac:dyDescent="0.45">
      <c r="A42" s="23" t="s">
        <v>19</v>
      </c>
      <c r="B42" s="82" t="s">
        <v>0</v>
      </c>
    </row>
    <row r="43" spans="1:2" x14ac:dyDescent="0.45">
      <c r="A43" s="23" t="s">
        <v>20</v>
      </c>
      <c r="B43" s="82" t="s">
        <v>0</v>
      </c>
    </row>
    <row r="44" spans="1:2" x14ac:dyDescent="0.45">
      <c r="A44" s="23" t="s">
        <v>21</v>
      </c>
      <c r="B44" s="82" t="s">
        <v>0</v>
      </c>
    </row>
    <row r="45" spans="1:2" x14ac:dyDescent="0.45">
      <c r="A45" s="23" t="s">
        <v>22</v>
      </c>
      <c r="B45" s="82" t="s">
        <v>0</v>
      </c>
    </row>
    <row r="46" spans="1:2" x14ac:dyDescent="0.45">
      <c r="A46" s="33" t="s">
        <v>23</v>
      </c>
      <c r="B46" s="82" t="s">
        <v>0</v>
      </c>
    </row>
    <row r="47" spans="1:2" x14ac:dyDescent="0.45">
      <c r="A47" s="33" t="s">
        <v>26</v>
      </c>
      <c r="B47" s="82" t="s">
        <v>0</v>
      </c>
    </row>
    <row r="48" spans="1:2" x14ac:dyDescent="0.45">
      <c r="A48" s="33" t="s">
        <v>27</v>
      </c>
      <c r="B48" s="82" t="s">
        <v>0</v>
      </c>
    </row>
    <row r="49" spans="1:2" x14ac:dyDescent="0.45">
      <c r="A49" s="23" t="s">
        <v>28</v>
      </c>
      <c r="B49" s="82" t="s">
        <v>0</v>
      </c>
    </row>
    <row r="50" spans="1:2" x14ac:dyDescent="0.45">
      <c r="A50" s="80" t="s">
        <v>29</v>
      </c>
      <c r="B50" s="82" t="s">
        <v>0</v>
      </c>
    </row>
    <row r="51" spans="1:2" x14ac:dyDescent="0.45">
      <c r="A51" s="33" t="s">
        <v>30</v>
      </c>
      <c r="B51" s="82" t="s">
        <v>0</v>
      </c>
    </row>
    <row r="52" spans="1:2" x14ac:dyDescent="0.45">
      <c r="A52" s="33" t="s">
        <v>31</v>
      </c>
      <c r="B52" s="82" t="s">
        <v>0</v>
      </c>
    </row>
    <row r="53" spans="1:2" x14ac:dyDescent="0.45">
      <c r="A53" s="23" t="s">
        <v>32</v>
      </c>
      <c r="B53" s="82" t="s">
        <v>0</v>
      </c>
    </row>
    <row r="54" spans="1:2" x14ac:dyDescent="0.45">
      <c r="A54" s="33" t="s">
        <v>33</v>
      </c>
      <c r="B54" s="82" t="s">
        <v>0</v>
      </c>
    </row>
    <row r="55" spans="1:2" x14ac:dyDescent="0.45">
      <c r="A55" s="23" t="s">
        <v>34</v>
      </c>
      <c r="B55" s="82" t="s">
        <v>0</v>
      </c>
    </row>
    <row r="56" spans="1:2" x14ac:dyDescent="0.45">
      <c r="A56" s="33" t="s">
        <v>35</v>
      </c>
      <c r="B56" s="82" t="s">
        <v>0</v>
      </c>
    </row>
    <row r="57" spans="1:2" x14ac:dyDescent="0.45">
      <c r="A57" s="23" t="s">
        <v>36</v>
      </c>
      <c r="B57" s="82" t="s">
        <v>0</v>
      </c>
    </row>
    <row r="58" spans="1:2" x14ac:dyDescent="0.45">
      <c r="A58" s="23" t="s">
        <v>37</v>
      </c>
      <c r="B58" s="82" t="s">
        <v>0</v>
      </c>
    </row>
    <row r="59" spans="1:2" x14ac:dyDescent="0.45">
      <c r="A59" s="23" t="s">
        <v>38</v>
      </c>
      <c r="B59" s="82" t="s">
        <v>0</v>
      </c>
    </row>
    <row r="60" spans="1:2" x14ac:dyDescent="0.45">
      <c r="A60" s="23" t="s">
        <v>39</v>
      </c>
      <c r="B60" s="82" t="s">
        <v>0</v>
      </c>
    </row>
    <row r="61" spans="1:2" x14ac:dyDescent="0.45">
      <c r="A61" s="23" t="s">
        <v>40</v>
      </c>
      <c r="B61" s="82" t="s">
        <v>0</v>
      </c>
    </row>
    <row r="62" spans="1:2" x14ac:dyDescent="0.45">
      <c r="A62" s="33" t="s">
        <v>241</v>
      </c>
      <c r="B62" s="82" t="s">
        <v>0</v>
      </c>
    </row>
    <row r="63" spans="1:2" x14ac:dyDescent="0.45">
      <c r="A63" s="33" t="s">
        <v>41</v>
      </c>
      <c r="B63" s="82" t="s">
        <v>0</v>
      </c>
    </row>
    <row r="64" spans="1:2" x14ac:dyDescent="0.45">
      <c r="A64" s="19" t="s">
        <v>42</v>
      </c>
      <c r="B64" s="82" t="s">
        <v>0</v>
      </c>
    </row>
    <row r="65" spans="1:2" x14ac:dyDescent="0.45">
      <c r="A65" s="33" t="s">
        <v>43</v>
      </c>
      <c r="B65" s="82" t="s">
        <v>0</v>
      </c>
    </row>
    <row r="66" spans="1:2" x14ac:dyDescent="0.45">
      <c r="A66" s="33" t="s">
        <v>44</v>
      </c>
      <c r="B66" s="82" t="s">
        <v>0</v>
      </c>
    </row>
    <row r="67" spans="1:2" x14ac:dyDescent="0.45">
      <c r="A67" s="33" t="s">
        <v>45</v>
      </c>
      <c r="B67" s="82" t="s">
        <v>0</v>
      </c>
    </row>
    <row r="68" spans="1:2" x14ac:dyDescent="0.45">
      <c r="A68" s="33" t="s">
        <v>46</v>
      </c>
      <c r="B68" s="82" t="s">
        <v>0</v>
      </c>
    </row>
    <row r="69" spans="1:2" x14ac:dyDescent="0.45">
      <c r="A69" s="19" t="s">
        <v>242</v>
      </c>
      <c r="B69" s="82" t="s">
        <v>0</v>
      </c>
    </row>
    <row r="70" spans="1:2" x14ac:dyDescent="0.45">
      <c r="A70" s="27" t="s">
        <v>48</v>
      </c>
      <c r="B70" s="82" t="s">
        <v>0</v>
      </c>
    </row>
    <row r="71" spans="1:2" x14ac:dyDescent="0.45">
      <c r="A71" s="27" t="s">
        <v>49</v>
      </c>
      <c r="B71" s="82" t="s">
        <v>0</v>
      </c>
    </row>
    <row r="72" spans="1:2" x14ac:dyDescent="0.45">
      <c r="A72" s="33" t="s">
        <v>50</v>
      </c>
      <c r="B72" s="82" t="s">
        <v>0</v>
      </c>
    </row>
    <row r="73" spans="1:2" x14ac:dyDescent="0.45">
      <c r="A73" s="33" t="s">
        <v>51</v>
      </c>
      <c r="B73" s="82" t="s">
        <v>0</v>
      </c>
    </row>
    <row r="74" spans="1:2" x14ac:dyDescent="0.45">
      <c r="A74" s="33" t="s">
        <v>52</v>
      </c>
      <c r="B74" s="82" t="s">
        <v>0</v>
      </c>
    </row>
    <row r="75" spans="1:2" x14ac:dyDescent="0.45">
      <c r="A75" s="33" t="s">
        <v>53</v>
      </c>
      <c r="B75" s="82" t="s">
        <v>0</v>
      </c>
    </row>
    <row r="76" spans="1:2" x14ac:dyDescent="0.45">
      <c r="A76" s="33" t="s">
        <v>54</v>
      </c>
      <c r="B76" s="82" t="s">
        <v>0</v>
      </c>
    </row>
    <row r="77" spans="1:2" x14ac:dyDescent="0.45">
      <c r="A77" s="33" t="s">
        <v>55</v>
      </c>
      <c r="B77" s="82" t="s">
        <v>0</v>
      </c>
    </row>
    <row r="78" spans="1:2" x14ac:dyDescent="0.45">
      <c r="A78" s="33" t="s">
        <v>56</v>
      </c>
      <c r="B78" s="82" t="s">
        <v>0</v>
      </c>
    </row>
    <row r="79" spans="1:2" x14ac:dyDescent="0.45">
      <c r="A79" s="33" t="s">
        <v>57</v>
      </c>
      <c r="B79" s="82" t="s">
        <v>0</v>
      </c>
    </row>
    <row r="80" spans="1:2" x14ac:dyDescent="0.45">
      <c r="A80" s="33" t="s">
        <v>58</v>
      </c>
      <c r="B80" s="82" t="s">
        <v>0</v>
      </c>
    </row>
    <row r="81" spans="1:142" x14ac:dyDescent="0.45">
      <c r="A81" s="19" t="s">
        <v>270</v>
      </c>
      <c r="B81" s="86" t="s">
        <v>170</v>
      </c>
    </row>
    <row r="82" spans="1:142" x14ac:dyDescent="0.45">
      <c r="A82" s="19" t="s">
        <v>271</v>
      </c>
      <c r="B82" s="86" t="s">
        <v>170</v>
      </c>
    </row>
    <row r="83" spans="1:142" s="5" customFormat="1" x14ac:dyDescent="0.45">
      <c r="A83" s="19" t="s">
        <v>272</v>
      </c>
      <c r="B83" s="86" t="s">
        <v>170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</row>
    <row r="84" spans="1:142" s="5" customFormat="1" x14ac:dyDescent="0.45">
      <c r="A84" s="19" t="s">
        <v>273</v>
      </c>
      <c r="B84" s="86" t="s">
        <v>170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</row>
    <row r="85" spans="1:142" s="5" customFormat="1" x14ac:dyDescent="0.45">
      <c r="A85" s="19" t="s">
        <v>274</v>
      </c>
      <c r="B85" s="86" t="s">
        <v>173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</row>
    <row r="86" spans="1:142" s="5" customFormat="1" x14ac:dyDescent="0.45">
      <c r="A86" s="19" t="s">
        <v>275</v>
      </c>
      <c r="B86" s="86" t="s">
        <v>170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</row>
    <row r="87" spans="1:142" s="5" customFormat="1" x14ac:dyDescent="0.45">
      <c r="A87" s="19" t="s">
        <v>276</v>
      </c>
      <c r="B87" s="86" t="s">
        <v>170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</row>
    <row r="88" spans="1:142" s="5" customFormat="1" x14ac:dyDescent="0.45">
      <c r="A88" s="19" t="s">
        <v>277</v>
      </c>
      <c r="B88" s="86" t="s">
        <v>170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</row>
    <row r="89" spans="1:142" s="5" customFormat="1" x14ac:dyDescent="0.45">
      <c r="A89" s="19" t="s">
        <v>278</v>
      </c>
      <c r="B89" s="86" t="s">
        <v>173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</row>
    <row r="90" spans="1:142" s="5" customFormat="1" x14ac:dyDescent="0.45">
      <c r="A90" s="19" t="s">
        <v>279</v>
      </c>
      <c r="B90" s="86" t="s">
        <v>173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</row>
    <row r="91" spans="1:142" s="5" customFormat="1" x14ac:dyDescent="0.45">
      <c r="A91" s="19" t="s">
        <v>280</v>
      </c>
      <c r="B91" s="86" t="s">
        <v>170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</row>
    <row r="92" spans="1:142" s="5" customFormat="1" x14ac:dyDescent="0.45">
      <c r="A92" s="19" t="s">
        <v>281</v>
      </c>
      <c r="B92" s="86" t="s">
        <v>170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</row>
    <row r="93" spans="1:142" s="5" customFormat="1" x14ac:dyDescent="0.45">
      <c r="A93" s="19" t="s">
        <v>282</v>
      </c>
      <c r="B93" s="86" t="s">
        <v>173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</row>
    <row r="94" spans="1:142" s="5" customFormat="1" x14ac:dyDescent="0.45">
      <c r="A94" s="19" t="s">
        <v>283</v>
      </c>
      <c r="B94" s="86" t="s">
        <v>173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</row>
    <row r="95" spans="1:142" s="5" customFormat="1" x14ac:dyDescent="0.45">
      <c r="A95" s="19" t="s">
        <v>284</v>
      </c>
      <c r="B95" s="86" t="s">
        <v>173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</row>
    <row r="96" spans="1:142" s="5" customFormat="1" x14ac:dyDescent="0.45">
      <c r="A96" s="19" t="s">
        <v>285</v>
      </c>
      <c r="B96" s="86" t="s">
        <v>173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</row>
    <row r="97" spans="1:142" s="5" customFormat="1" x14ac:dyDescent="0.45">
      <c r="A97" s="19" t="s">
        <v>286</v>
      </c>
      <c r="B97" s="86" t="s">
        <v>173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</row>
    <row r="98" spans="1:142" s="5" customFormat="1" x14ac:dyDescent="0.45">
      <c r="A98" s="19" t="s">
        <v>287</v>
      </c>
      <c r="B98" s="86" t="s">
        <v>173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</row>
    <row r="99" spans="1:142" s="5" customFormat="1" x14ac:dyDescent="0.45">
      <c r="A99" s="19" t="s">
        <v>288</v>
      </c>
      <c r="B99" s="86" t="s">
        <v>173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</row>
    <row r="100" spans="1:142" s="5" customFormat="1" x14ac:dyDescent="0.45">
      <c r="A100" s="19" t="s">
        <v>289</v>
      </c>
      <c r="B100" s="86" t="s">
        <v>170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</row>
    <row r="101" spans="1:142" s="5" customFormat="1" x14ac:dyDescent="0.45">
      <c r="A101" s="19" t="s">
        <v>290</v>
      </c>
      <c r="B101" s="86" t="s">
        <v>170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</row>
    <row r="102" spans="1:142" s="5" customFormat="1" x14ac:dyDescent="0.45">
      <c r="A102" s="19" t="s">
        <v>291</v>
      </c>
      <c r="B102" s="86" t="s">
        <v>170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</row>
    <row r="103" spans="1:142" s="5" customFormat="1" x14ac:dyDescent="0.45">
      <c r="A103" s="19" t="s">
        <v>292</v>
      </c>
      <c r="B103" s="86" t="s">
        <v>170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</row>
    <row r="104" spans="1:142" s="5" customFormat="1" x14ac:dyDescent="0.45">
      <c r="A104" s="19" t="s">
        <v>293</v>
      </c>
      <c r="B104" s="86" t="s">
        <v>170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</row>
    <row r="105" spans="1:142" s="5" customFormat="1" x14ac:dyDescent="0.45">
      <c r="A105" s="19" t="s">
        <v>294</v>
      </c>
      <c r="B105" s="86" t="s">
        <v>170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</row>
    <row r="106" spans="1:142" s="5" customFormat="1" x14ac:dyDescent="0.45">
      <c r="A106" s="19" t="s">
        <v>295</v>
      </c>
      <c r="B106" s="86" t="s">
        <v>170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</row>
    <row r="107" spans="1:142" s="5" customFormat="1" x14ac:dyDescent="0.45">
      <c r="A107" s="19" t="s">
        <v>296</v>
      </c>
      <c r="B107" s="86" t="s">
        <v>170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</row>
    <row r="108" spans="1:142" s="5" customFormat="1" x14ac:dyDescent="0.45">
      <c r="A108" s="19" t="s">
        <v>297</v>
      </c>
      <c r="B108" s="86" t="s">
        <v>170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</row>
    <row r="109" spans="1:142" s="5" customFormat="1" x14ac:dyDescent="0.45">
      <c r="A109" s="19" t="s">
        <v>298</v>
      </c>
      <c r="B109" s="86" t="s">
        <v>173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</row>
    <row r="110" spans="1:142" s="5" customFormat="1" x14ac:dyDescent="0.45">
      <c r="A110" s="19" t="s">
        <v>299</v>
      </c>
      <c r="B110" s="86" t="s">
        <v>173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</row>
    <row r="111" spans="1:142" s="5" customFormat="1" x14ac:dyDescent="0.45">
      <c r="A111" s="27" t="s">
        <v>300</v>
      </c>
      <c r="B111" s="87" t="s">
        <v>173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</row>
    <row r="112" spans="1:142" s="5" customFormat="1" x14ac:dyDescent="0.45">
      <c r="A112" s="19" t="s">
        <v>301</v>
      </c>
      <c r="B112" s="86" t="s">
        <v>170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</row>
    <row r="113" spans="1:142" s="5" customFormat="1" x14ac:dyDescent="0.45">
      <c r="A113" s="19" t="s">
        <v>302</v>
      </c>
      <c r="B113" s="86" t="s">
        <v>170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</row>
    <row r="114" spans="1:142" s="5" customFormat="1" x14ac:dyDescent="0.45">
      <c r="A114" s="19" t="s">
        <v>303</v>
      </c>
      <c r="B114" s="86" t="s">
        <v>170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</row>
    <row r="115" spans="1:142" x14ac:dyDescent="0.45">
      <c r="A115" s="19" t="s">
        <v>304</v>
      </c>
      <c r="B115" s="86" t="s">
        <v>170</v>
      </c>
    </row>
    <row r="116" spans="1:142" ht="15.75" customHeight="1" x14ac:dyDescent="0.45">
      <c r="A116" s="81" t="s">
        <v>305</v>
      </c>
      <c r="B116" s="87" t="s">
        <v>173</v>
      </c>
    </row>
    <row r="117" spans="1:142" x14ac:dyDescent="0.45">
      <c r="A117" s="81" t="s">
        <v>306</v>
      </c>
      <c r="B117" s="87" t="s">
        <v>173</v>
      </c>
    </row>
    <row r="118" spans="1:142" x14ac:dyDescent="0.45">
      <c r="A118" s="19" t="s">
        <v>307</v>
      </c>
      <c r="B118" s="86" t="s">
        <v>170</v>
      </c>
    </row>
    <row r="119" spans="1:142" x14ac:dyDescent="0.45">
      <c r="A119" s="19" t="s">
        <v>308</v>
      </c>
      <c r="B119" s="86" t="s">
        <v>173</v>
      </c>
      <c r="C119" s="73"/>
    </row>
    <row r="120" spans="1:142" x14ac:dyDescent="0.45">
      <c r="A120" s="19" t="s">
        <v>309</v>
      </c>
      <c r="B120" s="86" t="s">
        <v>170</v>
      </c>
    </row>
    <row r="121" spans="1:142" x14ac:dyDescent="0.45">
      <c r="A121" s="19" t="s">
        <v>310</v>
      </c>
      <c r="B121" s="86" t="s">
        <v>170</v>
      </c>
    </row>
    <row r="122" spans="1:142" x14ac:dyDescent="0.45">
      <c r="A122" s="27" t="s">
        <v>311</v>
      </c>
      <c r="B122" s="87" t="s">
        <v>173</v>
      </c>
    </row>
    <row r="123" spans="1:142" x14ac:dyDescent="0.45">
      <c r="A123" s="27" t="s">
        <v>312</v>
      </c>
      <c r="B123" s="87" t="s">
        <v>173</v>
      </c>
    </row>
    <row r="124" spans="1:142" x14ac:dyDescent="0.45">
      <c r="A124" s="27" t="s">
        <v>313</v>
      </c>
      <c r="B124" s="87" t="s">
        <v>170</v>
      </c>
    </row>
    <row r="125" spans="1:142" x14ac:dyDescent="0.45">
      <c r="A125" s="19" t="s">
        <v>314</v>
      </c>
      <c r="B125" s="86" t="s">
        <v>170</v>
      </c>
    </row>
    <row r="126" spans="1:142" x14ac:dyDescent="0.45">
      <c r="A126" s="19" t="s">
        <v>315</v>
      </c>
      <c r="B126" s="86" t="s">
        <v>170</v>
      </c>
    </row>
    <row r="127" spans="1:142" x14ac:dyDescent="0.45">
      <c r="A127" s="19" t="s">
        <v>316</v>
      </c>
      <c r="B127" s="86" t="s">
        <v>173</v>
      </c>
    </row>
    <row r="128" spans="1:142" x14ac:dyDescent="0.45">
      <c r="A128" s="19" t="s">
        <v>317</v>
      </c>
      <c r="B128" s="86" t="s">
        <v>173</v>
      </c>
      <c r="C128" s="57"/>
      <c r="D128" s="21"/>
      <c r="E128" s="21"/>
      <c r="F128" s="7"/>
    </row>
    <row r="129" spans="1:6" x14ac:dyDescent="0.45">
      <c r="A129" s="27" t="s">
        <v>318</v>
      </c>
      <c r="B129" s="87" t="s">
        <v>170</v>
      </c>
      <c r="E129" s="21"/>
      <c r="F129" s="6"/>
    </row>
    <row r="130" spans="1:6" x14ac:dyDescent="0.45">
      <c r="A130" s="27" t="s">
        <v>319</v>
      </c>
      <c r="B130" s="87" t="s">
        <v>173</v>
      </c>
    </row>
    <row r="131" spans="1:6" x14ac:dyDescent="0.45">
      <c r="A131" s="19" t="s">
        <v>320</v>
      </c>
      <c r="B131" s="86" t="s">
        <v>170</v>
      </c>
    </row>
    <row r="132" spans="1:6" x14ac:dyDescent="0.45">
      <c r="A132" s="19" t="s">
        <v>321</v>
      </c>
      <c r="B132" s="88" t="s">
        <v>173</v>
      </c>
    </row>
    <row r="133" spans="1:6" x14ac:dyDescent="0.45">
      <c r="A133" s="27" t="s">
        <v>322</v>
      </c>
      <c r="B133" s="87" t="s">
        <v>0</v>
      </c>
    </row>
    <row r="134" spans="1:6" s="25" customFormat="1" x14ac:dyDescent="0.45">
      <c r="A134" s="19" t="s">
        <v>323</v>
      </c>
      <c r="B134" s="87" t="s">
        <v>170</v>
      </c>
      <c r="C134" s="6"/>
      <c r="D134" s="6"/>
      <c r="E134" s="6"/>
    </row>
    <row r="135" spans="1:6" s="25" customFormat="1" x14ac:dyDescent="0.45">
      <c r="A135" s="19" t="s">
        <v>324</v>
      </c>
      <c r="B135" s="87" t="s">
        <v>170</v>
      </c>
      <c r="C135" s="6"/>
      <c r="D135" s="6"/>
      <c r="E135" s="6"/>
    </row>
    <row r="136" spans="1:6" s="25" customFormat="1" x14ac:dyDescent="0.45">
      <c r="A136" s="19" t="s">
        <v>325</v>
      </c>
      <c r="B136" s="82" t="s">
        <v>170</v>
      </c>
      <c r="C136" s="6"/>
      <c r="D136" s="6"/>
      <c r="E136" s="6"/>
    </row>
    <row r="137" spans="1:6" s="25" customFormat="1" x14ac:dyDescent="0.45">
      <c r="A137" s="19" t="s">
        <v>326</v>
      </c>
      <c r="B137" s="82" t="s">
        <v>170</v>
      </c>
      <c r="C137" s="6"/>
      <c r="D137" s="6"/>
      <c r="E137" s="6"/>
    </row>
    <row r="138" spans="1:6" x14ac:dyDescent="0.45">
      <c r="A138" s="19" t="s">
        <v>327</v>
      </c>
      <c r="B138" s="82" t="s">
        <v>173</v>
      </c>
      <c r="C138" s="21"/>
      <c r="D138" s="21"/>
      <c r="E138" s="21"/>
    </row>
    <row r="139" spans="1:6" x14ac:dyDescent="0.45">
      <c r="A139" s="19" t="s">
        <v>328</v>
      </c>
      <c r="B139" s="82" t="s">
        <v>170</v>
      </c>
    </row>
    <row r="140" spans="1:6" x14ac:dyDescent="0.45">
      <c r="A140" s="19" t="s">
        <v>329</v>
      </c>
      <c r="B140" s="82" t="s">
        <v>170</v>
      </c>
    </row>
    <row r="141" spans="1:6" x14ac:dyDescent="0.45">
      <c r="A141" s="19" t="s">
        <v>330</v>
      </c>
      <c r="B141" s="82" t="s">
        <v>170</v>
      </c>
    </row>
    <row r="142" spans="1:6" x14ac:dyDescent="0.45">
      <c r="A142" s="19" t="s">
        <v>331</v>
      </c>
      <c r="B142" s="17" t="s">
        <v>173</v>
      </c>
    </row>
    <row r="143" spans="1:6" s="25" customFormat="1" x14ac:dyDescent="0.45">
      <c r="A143" s="19" t="s">
        <v>332</v>
      </c>
      <c r="B143" s="17" t="s">
        <v>173</v>
      </c>
      <c r="C143" s="6"/>
      <c r="D143" s="6"/>
      <c r="E143" s="6"/>
    </row>
    <row r="144" spans="1:6" x14ac:dyDescent="0.45">
      <c r="A144" s="19" t="s">
        <v>333</v>
      </c>
      <c r="B144" s="17" t="s">
        <v>170</v>
      </c>
      <c r="C144" s="21"/>
    </row>
    <row r="145" spans="1:5" x14ac:dyDescent="0.45">
      <c r="A145" s="19" t="s">
        <v>334</v>
      </c>
      <c r="B145" s="17" t="s">
        <v>170</v>
      </c>
      <c r="C145" s="21"/>
      <c r="E145" s="21"/>
    </row>
    <row r="146" spans="1:5" x14ac:dyDescent="0.45">
      <c r="A146" s="19" t="s">
        <v>335</v>
      </c>
      <c r="B146" s="17" t="s">
        <v>173</v>
      </c>
      <c r="C146" s="21"/>
      <c r="D146" s="21"/>
      <c r="E146" s="21"/>
    </row>
    <row r="147" spans="1:5" x14ac:dyDescent="0.45">
      <c r="A147" s="19" t="s">
        <v>336</v>
      </c>
      <c r="B147" s="17" t="s">
        <v>173</v>
      </c>
      <c r="C147" s="21"/>
      <c r="D147" s="21"/>
      <c r="E147" s="21"/>
    </row>
    <row r="148" spans="1:5" x14ac:dyDescent="0.45">
      <c r="A148" s="19" t="s">
        <v>337</v>
      </c>
      <c r="B148" s="17" t="s">
        <v>173</v>
      </c>
    </row>
    <row r="149" spans="1:5" s="25" customFormat="1" x14ac:dyDescent="0.45">
      <c r="A149" s="19" t="s">
        <v>338</v>
      </c>
      <c r="B149" s="17" t="s">
        <v>173</v>
      </c>
      <c r="C149" s="6"/>
      <c r="D149" s="6"/>
      <c r="E149" s="6"/>
    </row>
    <row r="150" spans="1:5" s="25" customFormat="1" x14ac:dyDescent="0.45">
      <c r="A150" s="19" t="s">
        <v>339</v>
      </c>
      <c r="B150" s="17" t="s">
        <v>173</v>
      </c>
      <c r="C150" s="6"/>
      <c r="D150" s="6"/>
      <c r="E150" s="6"/>
    </row>
    <row r="151" spans="1:5" s="25" customFormat="1" x14ac:dyDescent="0.45">
      <c r="A151" s="19" t="s">
        <v>340</v>
      </c>
      <c r="B151" s="17" t="s">
        <v>173</v>
      </c>
      <c r="C151" s="6"/>
      <c r="D151" s="6"/>
      <c r="E151" s="6"/>
    </row>
    <row r="152" spans="1:5" s="25" customFormat="1" x14ac:dyDescent="0.45">
      <c r="A152" s="19" t="s">
        <v>341</v>
      </c>
      <c r="B152" s="17" t="s">
        <v>173</v>
      </c>
      <c r="C152" s="6"/>
      <c r="D152" s="6"/>
      <c r="E152" s="6"/>
    </row>
    <row r="153" spans="1:5" x14ac:dyDescent="0.45">
      <c r="A153" s="19" t="s">
        <v>342</v>
      </c>
      <c r="B153" s="17" t="s">
        <v>170</v>
      </c>
    </row>
    <row r="154" spans="1:5" x14ac:dyDescent="0.45">
      <c r="A154" s="19" t="s">
        <v>343</v>
      </c>
      <c r="B154" s="17" t="s">
        <v>170</v>
      </c>
    </row>
    <row r="155" spans="1:5" x14ac:dyDescent="0.45">
      <c r="A155" s="19" t="s">
        <v>344</v>
      </c>
      <c r="B155" s="17" t="s">
        <v>170</v>
      </c>
    </row>
    <row r="156" spans="1:5" x14ac:dyDescent="0.45">
      <c r="A156" s="19" t="s">
        <v>345</v>
      </c>
      <c r="B156" s="17" t="s">
        <v>170</v>
      </c>
    </row>
    <row r="157" spans="1:5" x14ac:dyDescent="0.45">
      <c r="A157" s="19" t="s">
        <v>346</v>
      </c>
      <c r="B157" s="17" t="s">
        <v>170</v>
      </c>
    </row>
    <row r="158" spans="1:5" x14ac:dyDescent="0.45">
      <c r="A158" s="19" t="s">
        <v>347</v>
      </c>
      <c r="B158" s="17" t="s">
        <v>170</v>
      </c>
    </row>
    <row r="159" spans="1:5" s="25" customFormat="1" x14ac:dyDescent="0.45">
      <c r="A159" s="19" t="s">
        <v>348</v>
      </c>
      <c r="B159" s="17" t="s">
        <v>170</v>
      </c>
      <c r="C159" s="6"/>
      <c r="D159" s="6"/>
      <c r="E159" s="6"/>
    </row>
    <row r="160" spans="1:5" x14ac:dyDescent="0.45">
      <c r="A160" s="19" t="s">
        <v>349</v>
      </c>
      <c r="B160" s="17" t="s">
        <v>170</v>
      </c>
    </row>
    <row r="161" spans="1:5" x14ac:dyDescent="0.45">
      <c r="A161" s="19" t="s">
        <v>350</v>
      </c>
      <c r="B161" s="17" t="s">
        <v>170</v>
      </c>
    </row>
    <row r="162" spans="1:5" x14ac:dyDescent="0.45">
      <c r="A162" s="19" t="s">
        <v>351</v>
      </c>
      <c r="B162" s="17" t="s">
        <v>173</v>
      </c>
    </row>
    <row r="163" spans="1:5" s="25" customFormat="1" x14ac:dyDescent="0.45">
      <c r="A163" s="19" t="s">
        <v>352</v>
      </c>
      <c r="B163" s="17" t="s">
        <v>173</v>
      </c>
      <c r="C163" s="6"/>
      <c r="D163" s="6"/>
      <c r="E163" s="6"/>
    </row>
    <row r="164" spans="1:5" s="25" customFormat="1" x14ac:dyDescent="0.45">
      <c r="A164" s="19" t="s">
        <v>353</v>
      </c>
      <c r="B164" s="42" t="s">
        <v>173</v>
      </c>
      <c r="C164" s="6"/>
      <c r="D164" s="6"/>
      <c r="E164" s="6"/>
    </row>
    <row r="165" spans="1:5" s="25" customFormat="1" x14ac:dyDescent="0.45">
      <c r="A165" s="19" t="s">
        <v>354</v>
      </c>
      <c r="B165" s="17" t="s">
        <v>170</v>
      </c>
      <c r="C165" s="6"/>
      <c r="D165" s="6"/>
      <c r="E165" s="6"/>
    </row>
    <row r="166" spans="1:5" s="25" customFormat="1" x14ac:dyDescent="0.45">
      <c r="A166" s="19" t="s">
        <v>355</v>
      </c>
      <c r="B166" s="17" t="s">
        <v>170</v>
      </c>
      <c r="C166" s="6"/>
      <c r="D166" s="6"/>
      <c r="E166" s="6"/>
    </row>
    <row r="167" spans="1:5" x14ac:dyDescent="0.45">
      <c r="A167" s="19" t="s">
        <v>356</v>
      </c>
      <c r="B167" s="17" t="s">
        <v>170</v>
      </c>
    </row>
    <row r="168" spans="1:5" s="25" customFormat="1" x14ac:dyDescent="0.45">
      <c r="A168" s="19" t="s">
        <v>357</v>
      </c>
      <c r="B168" s="17" t="s">
        <v>170</v>
      </c>
      <c r="C168" s="6"/>
      <c r="D168" s="6"/>
      <c r="E168" s="6"/>
    </row>
    <row r="169" spans="1:5" s="25" customFormat="1" x14ac:dyDescent="0.45">
      <c r="A169" s="19" t="s">
        <v>358</v>
      </c>
      <c r="B169" s="17" t="s">
        <v>173</v>
      </c>
      <c r="C169" s="6"/>
      <c r="D169" s="6"/>
      <c r="E169" s="6"/>
    </row>
    <row r="170" spans="1:5" x14ac:dyDescent="0.45">
      <c r="A170" s="19" t="s">
        <v>359</v>
      </c>
      <c r="B170" s="17" t="s">
        <v>173</v>
      </c>
    </row>
    <row r="171" spans="1:5" x14ac:dyDescent="0.45">
      <c r="A171" s="19" t="s">
        <v>360</v>
      </c>
      <c r="B171" s="17" t="s">
        <v>170</v>
      </c>
    </row>
    <row r="172" spans="1:5" x14ac:dyDescent="0.45">
      <c r="A172" s="19" t="s">
        <v>361</v>
      </c>
      <c r="B172" s="17" t="s">
        <v>170</v>
      </c>
    </row>
    <row r="173" spans="1:5" x14ac:dyDescent="0.45">
      <c r="A173" s="19" t="s">
        <v>362</v>
      </c>
      <c r="B173" s="17" t="s">
        <v>170</v>
      </c>
      <c r="C173" s="21"/>
      <c r="D173" s="21"/>
      <c r="E173" s="21"/>
    </row>
    <row r="174" spans="1:5" x14ac:dyDescent="0.45">
      <c r="A174" s="19" t="s">
        <v>363</v>
      </c>
      <c r="B174" s="17" t="s">
        <v>173</v>
      </c>
    </row>
    <row r="175" spans="1:5" x14ac:dyDescent="0.45">
      <c r="A175" s="19" t="s">
        <v>364</v>
      </c>
      <c r="B175" s="82" t="s">
        <v>170</v>
      </c>
      <c r="E175" s="21"/>
    </row>
    <row r="176" spans="1:5" x14ac:dyDescent="0.45">
      <c r="A176" s="19" t="s">
        <v>365</v>
      </c>
      <c r="B176" s="17" t="s">
        <v>170</v>
      </c>
    </row>
    <row r="177" spans="1:5" s="25" customFormat="1" x14ac:dyDescent="0.45">
      <c r="A177" s="19" t="s">
        <v>366</v>
      </c>
      <c r="B177" s="17" t="s">
        <v>173</v>
      </c>
      <c r="C177" s="6"/>
      <c r="D177" s="6"/>
      <c r="E177" s="6"/>
    </row>
    <row r="178" spans="1:5" s="25" customFormat="1" x14ac:dyDescent="0.45">
      <c r="A178" s="19" t="s">
        <v>367</v>
      </c>
      <c r="B178" s="17" t="s">
        <v>173</v>
      </c>
      <c r="C178" s="6"/>
      <c r="D178" s="6"/>
      <c r="E178" s="6"/>
    </row>
    <row r="179" spans="1:5" s="25" customFormat="1" x14ac:dyDescent="0.45">
      <c r="A179" s="27" t="s">
        <v>368</v>
      </c>
      <c r="B179" s="42" t="s">
        <v>170</v>
      </c>
      <c r="C179" s="6"/>
      <c r="D179" s="6"/>
      <c r="E179" s="6"/>
    </row>
    <row r="180" spans="1:5" s="25" customFormat="1" x14ac:dyDescent="0.45">
      <c r="A180" s="27" t="s">
        <v>369</v>
      </c>
      <c r="B180" s="42" t="s">
        <v>173</v>
      </c>
      <c r="C180" s="6"/>
      <c r="D180" s="6"/>
      <c r="E180" s="6"/>
    </row>
    <row r="181" spans="1:5" s="25" customFormat="1" x14ac:dyDescent="0.45">
      <c r="A181" s="19" t="s">
        <v>370</v>
      </c>
      <c r="B181" s="17" t="s">
        <v>170</v>
      </c>
      <c r="C181" s="6"/>
      <c r="D181" s="6"/>
      <c r="E181" s="6"/>
    </row>
    <row r="182" spans="1:5" s="25" customFormat="1" x14ac:dyDescent="0.45">
      <c r="A182" s="19" t="s">
        <v>371</v>
      </c>
      <c r="B182" s="17" t="s">
        <v>173</v>
      </c>
      <c r="C182" s="6"/>
      <c r="D182" s="6"/>
      <c r="E182" s="6"/>
    </row>
    <row r="183" spans="1:5" x14ac:dyDescent="0.45">
      <c r="A183" s="19" t="s">
        <v>372</v>
      </c>
      <c r="B183" s="17" t="s">
        <v>0</v>
      </c>
    </row>
    <row r="184" spans="1:5" x14ac:dyDescent="0.45">
      <c r="A184" s="19" t="s">
        <v>373</v>
      </c>
      <c r="B184" s="17" t="s">
        <v>0</v>
      </c>
    </row>
    <row r="185" spans="1:5" x14ac:dyDescent="0.45">
      <c r="A185" s="19" t="s">
        <v>374</v>
      </c>
      <c r="B185" s="17" t="s">
        <v>0</v>
      </c>
    </row>
    <row r="186" spans="1:5" x14ac:dyDescent="0.45">
      <c r="A186" s="19" t="s">
        <v>375</v>
      </c>
      <c r="B186" s="17" t="s">
        <v>0</v>
      </c>
    </row>
    <row r="187" spans="1:5" s="25" customFormat="1" x14ac:dyDescent="0.45">
      <c r="A187" s="19" t="s">
        <v>376</v>
      </c>
      <c r="B187" s="17" t="s">
        <v>0</v>
      </c>
      <c r="C187" s="6"/>
      <c r="D187" s="6"/>
      <c r="E187" s="6"/>
    </row>
    <row r="188" spans="1:5" s="25" customFormat="1" x14ac:dyDescent="0.45">
      <c r="A188" s="19" t="s">
        <v>377</v>
      </c>
      <c r="B188" s="17" t="s">
        <v>0</v>
      </c>
      <c r="C188" s="6"/>
      <c r="D188" s="6"/>
      <c r="E188" s="6"/>
    </row>
    <row r="189" spans="1:5" s="25" customFormat="1" x14ac:dyDescent="0.45">
      <c r="A189" s="19" t="s">
        <v>378</v>
      </c>
      <c r="B189" s="17" t="s">
        <v>0</v>
      </c>
      <c r="C189" s="6"/>
      <c r="D189" s="6"/>
      <c r="E189" s="6"/>
    </row>
    <row r="190" spans="1:5" s="25" customFormat="1" x14ac:dyDescent="0.45">
      <c r="A190" s="19" t="s">
        <v>379</v>
      </c>
      <c r="B190" s="17" t="s">
        <v>0</v>
      </c>
      <c r="C190" s="8"/>
      <c r="D190" s="8"/>
      <c r="E190" s="8"/>
    </row>
    <row r="191" spans="1:5" x14ac:dyDescent="0.45">
      <c r="A191" s="19" t="s">
        <v>380</v>
      </c>
      <c r="B191" s="17" t="s">
        <v>0</v>
      </c>
      <c r="C191" s="21"/>
      <c r="D191" s="21"/>
      <c r="E191" s="21"/>
    </row>
    <row r="192" spans="1:5" x14ac:dyDescent="0.45">
      <c r="A192" s="19" t="s">
        <v>381</v>
      </c>
      <c r="B192" s="17" t="s">
        <v>0</v>
      </c>
    </row>
    <row r="193" spans="1:5" s="25" customFormat="1" x14ac:dyDescent="0.45">
      <c r="A193" s="19" t="s">
        <v>382</v>
      </c>
      <c r="B193" s="17" t="s">
        <v>0</v>
      </c>
      <c r="C193" s="6"/>
      <c r="D193" s="6"/>
      <c r="E193" s="6"/>
    </row>
    <row r="194" spans="1:5" s="25" customFormat="1" x14ac:dyDescent="0.45">
      <c r="A194" s="19" t="s">
        <v>383</v>
      </c>
      <c r="B194" s="17" t="s">
        <v>0</v>
      </c>
      <c r="C194" s="6"/>
      <c r="D194" s="6"/>
      <c r="E194" s="6"/>
    </row>
    <row r="195" spans="1:5" s="25" customFormat="1" x14ac:dyDescent="0.45">
      <c r="A195" s="19" t="s">
        <v>384</v>
      </c>
      <c r="B195" s="17" t="s">
        <v>0</v>
      </c>
      <c r="C195" s="6"/>
      <c r="D195" s="6"/>
      <c r="E195" s="6"/>
    </row>
    <row r="196" spans="1:5" s="25" customFormat="1" x14ac:dyDescent="0.45">
      <c r="A196" s="19" t="s">
        <v>385</v>
      </c>
      <c r="B196" s="17" t="s">
        <v>0</v>
      </c>
      <c r="C196" s="6"/>
      <c r="D196" s="6"/>
      <c r="E196" s="6"/>
    </row>
    <row r="197" spans="1:5" x14ac:dyDescent="0.45">
      <c r="A197" s="19" t="s">
        <v>386</v>
      </c>
      <c r="B197" s="17" t="s">
        <v>0</v>
      </c>
    </row>
    <row r="198" spans="1:5" x14ac:dyDescent="0.45">
      <c r="A198" s="19" t="s">
        <v>387</v>
      </c>
      <c r="B198" s="17" t="s">
        <v>0</v>
      </c>
    </row>
    <row r="199" spans="1:5" x14ac:dyDescent="0.45">
      <c r="A199" s="19" t="s">
        <v>388</v>
      </c>
      <c r="B199" s="17" t="s">
        <v>0</v>
      </c>
    </row>
    <row r="200" spans="1:5" x14ac:dyDescent="0.45">
      <c r="A200" s="19" t="s">
        <v>389</v>
      </c>
      <c r="B200" s="17" t="s">
        <v>0</v>
      </c>
    </row>
    <row r="201" spans="1:5" s="25" customFormat="1" x14ac:dyDescent="0.45">
      <c r="A201" s="19" t="s">
        <v>117</v>
      </c>
      <c r="B201" s="17" t="s">
        <v>0</v>
      </c>
      <c r="C201" s="6"/>
      <c r="D201" s="6"/>
      <c r="E201" s="6"/>
    </row>
    <row r="202" spans="1:5" s="25" customFormat="1" x14ac:dyDescent="0.45">
      <c r="A202" s="19" t="s">
        <v>118</v>
      </c>
      <c r="B202" s="17" t="s">
        <v>0</v>
      </c>
      <c r="C202" s="6"/>
      <c r="D202" s="6"/>
      <c r="E202" s="6"/>
    </row>
    <row r="203" spans="1:5" x14ac:dyDescent="0.45">
      <c r="A203" s="19" t="s">
        <v>119</v>
      </c>
      <c r="B203" s="17" t="s">
        <v>0</v>
      </c>
    </row>
    <row r="204" spans="1:5" x14ac:dyDescent="0.45">
      <c r="A204" s="27" t="s">
        <v>120</v>
      </c>
      <c r="B204" s="82" t="s">
        <v>0</v>
      </c>
    </row>
    <row r="205" spans="1:5" x14ac:dyDescent="0.45">
      <c r="A205" s="27" t="s">
        <v>121</v>
      </c>
      <c r="B205" s="82" t="s">
        <v>0</v>
      </c>
    </row>
    <row r="206" spans="1:5" x14ac:dyDescent="0.45">
      <c r="A206" s="80" t="s">
        <v>122</v>
      </c>
      <c r="B206" s="17" t="s">
        <v>0</v>
      </c>
    </row>
    <row r="207" spans="1:5" s="25" customFormat="1" x14ac:dyDescent="0.45">
      <c r="A207" s="19" t="s">
        <v>123</v>
      </c>
      <c r="B207" s="17" t="s">
        <v>0</v>
      </c>
      <c r="C207" s="6"/>
      <c r="D207" s="6"/>
      <c r="E207" s="6"/>
    </row>
    <row r="208" spans="1:5" s="25" customFormat="1" x14ac:dyDescent="0.45">
      <c r="A208" s="19" t="s">
        <v>124</v>
      </c>
      <c r="B208" s="17" t="s">
        <v>0</v>
      </c>
      <c r="C208" s="6"/>
      <c r="D208" s="6"/>
      <c r="E208" s="6"/>
    </row>
    <row r="209" spans="1:9" s="25" customFormat="1" x14ac:dyDescent="0.45">
      <c r="A209" s="19" t="s">
        <v>125</v>
      </c>
      <c r="B209" s="17" t="s">
        <v>0</v>
      </c>
      <c r="C209" s="6"/>
      <c r="D209" s="6"/>
      <c r="E209" s="6"/>
    </row>
    <row r="210" spans="1:9" s="25" customFormat="1" x14ac:dyDescent="0.45">
      <c r="A210" s="19" t="s">
        <v>126</v>
      </c>
      <c r="B210" s="17" t="s">
        <v>0</v>
      </c>
      <c r="C210" s="6"/>
      <c r="D210" s="6"/>
      <c r="E210" s="6"/>
    </row>
    <row r="211" spans="1:9" s="25" customFormat="1" x14ac:dyDescent="0.45">
      <c r="A211" s="19" t="s">
        <v>127</v>
      </c>
      <c r="B211" s="17" t="s">
        <v>0</v>
      </c>
      <c r="C211" s="6"/>
      <c r="D211" s="6"/>
      <c r="E211" s="6"/>
    </row>
    <row r="212" spans="1:9" x14ac:dyDescent="0.45">
      <c r="A212" s="19" t="s">
        <v>128</v>
      </c>
      <c r="B212" s="17" t="s">
        <v>0</v>
      </c>
      <c r="C212" s="21"/>
      <c r="D212" s="21"/>
      <c r="E212" s="21"/>
    </row>
    <row r="213" spans="1:9" x14ac:dyDescent="0.45">
      <c r="A213" s="19" t="s">
        <v>129</v>
      </c>
      <c r="B213" s="17" t="s">
        <v>0</v>
      </c>
    </row>
    <row r="214" spans="1:9" s="24" customFormat="1" x14ac:dyDescent="0.45">
      <c r="A214" s="19" t="s">
        <v>130</v>
      </c>
      <c r="B214" s="17" t="s">
        <v>0</v>
      </c>
      <c r="C214" s="73"/>
      <c r="D214" s="73"/>
      <c r="E214" s="73"/>
    </row>
    <row r="215" spans="1:9" x14ac:dyDescent="0.45">
      <c r="A215" s="24" t="s">
        <v>131</v>
      </c>
      <c r="B215" s="15"/>
    </row>
    <row r="216" spans="1:9" x14ac:dyDescent="0.45">
      <c r="A216" s="24" t="s">
        <v>132</v>
      </c>
      <c r="B216" s="82" t="s">
        <v>0</v>
      </c>
    </row>
    <row r="217" spans="1:9" x14ac:dyDescent="0.45">
      <c r="A217" s="9" t="s">
        <v>136</v>
      </c>
      <c r="B217" s="41" t="s">
        <v>134</v>
      </c>
    </row>
    <row r="218" spans="1:9" x14ac:dyDescent="0.45">
      <c r="A218" t="s">
        <v>224</v>
      </c>
      <c r="B218" s="17">
        <f>COUNTIF($B$2:$B$217,"A")</f>
        <v>59</v>
      </c>
      <c r="C218" s="43">
        <f t="shared" ref="C218:I218" si="0">COUNTIFS($B$2:$B$217,"=A",C$2:C$217,"*")</f>
        <v>0</v>
      </c>
      <c r="D218" s="43">
        <f t="shared" si="0"/>
        <v>0</v>
      </c>
      <c r="E218" s="43">
        <f t="shared" si="0"/>
        <v>0</v>
      </c>
      <c r="F218" s="43">
        <f t="shared" si="0"/>
        <v>0</v>
      </c>
      <c r="G218" s="43">
        <f t="shared" si="0"/>
        <v>0</v>
      </c>
      <c r="H218" s="43">
        <f t="shared" si="0"/>
        <v>0</v>
      </c>
      <c r="I218" s="43">
        <f t="shared" si="0"/>
        <v>0</v>
      </c>
    </row>
    <row r="219" spans="1:9" x14ac:dyDescent="0.45">
      <c r="A219" t="s">
        <v>225</v>
      </c>
      <c r="B219" s="17">
        <f>COUNTIF($B$2:$B$217,"AA")</f>
        <v>42</v>
      </c>
      <c r="C219" s="44">
        <f t="shared" ref="C219:I219" si="1">COUNTIFS($B$2:$B$217,"=AA",C$2:C$217,"*")</f>
        <v>0</v>
      </c>
      <c r="D219" s="44">
        <f t="shared" si="1"/>
        <v>0</v>
      </c>
      <c r="E219" s="44">
        <f t="shared" si="1"/>
        <v>0</v>
      </c>
      <c r="F219" s="44">
        <f t="shared" si="1"/>
        <v>0</v>
      </c>
      <c r="G219" s="44">
        <f t="shared" si="1"/>
        <v>0</v>
      </c>
      <c r="H219" s="44">
        <f t="shared" si="1"/>
        <v>0</v>
      </c>
      <c r="I219" s="44">
        <f t="shared" si="1"/>
        <v>0</v>
      </c>
    </row>
    <row r="220" spans="1:9" s="25" customFormat="1" x14ac:dyDescent="0.45">
      <c r="A220" s="39" t="s">
        <v>226</v>
      </c>
      <c r="B220" s="37">
        <f>COUNTIF($B$2:$B$217,"AAA")</f>
        <v>0</v>
      </c>
      <c r="C220" s="83">
        <f t="shared" ref="C220:I220" si="2">COUNTIFS($B$2:$B$217,"=AAA",C$2:C$217,"*")</f>
        <v>0</v>
      </c>
      <c r="D220" s="83">
        <f t="shared" si="2"/>
        <v>0</v>
      </c>
      <c r="E220" s="83">
        <f t="shared" si="2"/>
        <v>0</v>
      </c>
      <c r="F220" s="83">
        <f t="shared" si="2"/>
        <v>0</v>
      </c>
      <c r="G220" s="83">
        <f t="shared" si="2"/>
        <v>0</v>
      </c>
      <c r="H220" s="83">
        <f t="shared" si="2"/>
        <v>0</v>
      </c>
      <c r="I220" s="83">
        <f t="shared" si="2"/>
        <v>0</v>
      </c>
    </row>
    <row r="221" spans="1:9" s="33" customFormat="1" x14ac:dyDescent="0.45">
      <c r="A221" t="s">
        <v>228</v>
      </c>
      <c r="B221" s="42">
        <f>COUNTIF($B$2:$B$217,"shall")</f>
        <v>113</v>
      </c>
      <c r="C221" s="44">
        <f t="shared" ref="C221:I221" si="3">COUNTIFS($B$2:$B$217,"=shall",C$2:C$217,"*")</f>
        <v>0</v>
      </c>
      <c r="D221" s="44">
        <f t="shared" si="3"/>
        <v>0</v>
      </c>
      <c r="E221" s="44">
        <f t="shared" si="3"/>
        <v>0</v>
      </c>
      <c r="F221" s="44">
        <f t="shared" si="3"/>
        <v>0</v>
      </c>
      <c r="G221" s="44">
        <f t="shared" si="3"/>
        <v>0</v>
      </c>
      <c r="H221" s="44">
        <f t="shared" si="3"/>
        <v>0</v>
      </c>
      <c r="I221" s="44">
        <f t="shared" si="3"/>
        <v>0</v>
      </c>
    </row>
    <row r="222" spans="1:9" s="25" customFormat="1" x14ac:dyDescent="0.45">
      <c r="A222" s="48" t="s">
        <v>227</v>
      </c>
      <c r="B222" s="46">
        <f>COUNTIF($B$2:$B$217,"should")</f>
        <v>0</v>
      </c>
      <c r="C222" s="84">
        <f t="shared" ref="C222:I222" si="4">COUNTIFS($B$2:$B$217,"=should",C$2:C$217,"*")</f>
        <v>0</v>
      </c>
      <c r="D222" s="85">
        <f t="shared" si="4"/>
        <v>0</v>
      </c>
      <c r="E222" s="85">
        <f t="shared" si="4"/>
        <v>0</v>
      </c>
      <c r="F222" s="85">
        <f t="shared" si="4"/>
        <v>0</v>
      </c>
      <c r="G222" s="85">
        <f t="shared" si="4"/>
        <v>0</v>
      </c>
      <c r="H222" s="85">
        <f t="shared" si="4"/>
        <v>0</v>
      </c>
      <c r="I222" s="85">
        <f t="shared" si="4"/>
        <v>0</v>
      </c>
    </row>
    <row r="223" spans="1:9" x14ac:dyDescent="0.45">
      <c r="B223" s="17">
        <f t="shared" ref="B223:I223" si="5">SUM(B218:B222)</f>
        <v>214</v>
      </c>
      <c r="C223" s="16">
        <f t="shared" si="5"/>
        <v>0</v>
      </c>
      <c r="D223" s="16">
        <f t="shared" si="5"/>
        <v>0</v>
      </c>
      <c r="E223" s="16">
        <f t="shared" si="5"/>
        <v>0</v>
      </c>
      <c r="F223" s="16">
        <f t="shared" si="5"/>
        <v>0</v>
      </c>
      <c r="G223" s="16">
        <f t="shared" si="5"/>
        <v>0</v>
      </c>
      <c r="H223" s="16">
        <f t="shared" si="5"/>
        <v>0</v>
      </c>
      <c r="I223" s="16">
        <f t="shared" si="5"/>
        <v>0</v>
      </c>
    </row>
    <row r="224" spans="1:9" x14ac:dyDescent="0.45">
      <c r="B224" s="17">
        <f>B223-B220-B222</f>
        <v>214</v>
      </c>
      <c r="C224" s="16">
        <f t="shared" ref="C224:I224" si="6">C$218+C$219+C221</f>
        <v>0</v>
      </c>
      <c r="D224" s="16">
        <f t="shared" si="6"/>
        <v>0</v>
      </c>
      <c r="E224" s="16">
        <f t="shared" si="6"/>
        <v>0</v>
      </c>
      <c r="F224" s="16">
        <f t="shared" si="6"/>
        <v>0</v>
      </c>
      <c r="G224" s="16">
        <f t="shared" si="6"/>
        <v>0</v>
      </c>
      <c r="H224" s="16">
        <f t="shared" si="6"/>
        <v>0</v>
      </c>
      <c r="I224" s="16">
        <f t="shared" si="6"/>
        <v>0</v>
      </c>
    </row>
  </sheetData>
  <conditionalFormatting sqref="A2:B214">
    <cfRule type="cellIs" dxfId="5" priority="1" operator="equal">
      <formula>""</formula>
    </cfRule>
  </conditionalFormatting>
  <pageMargins left="0.7" right="0.7" top="0.78740157500000008" bottom="0.78740157500000008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7E5AC-CE4A-4FFB-B277-E5D8AA954052}">
  <dimension ref="A1:EL224"/>
  <sheetViews>
    <sheetView zoomScale="145" zoomScaleNormal="145" workbookViewId="0">
      <pane ySplit="1" topLeftCell="A71" activePane="bottomLeft" state="frozen"/>
      <selection pane="bottomLeft" activeCell="A87" sqref="A87"/>
    </sheetView>
  </sheetViews>
  <sheetFormatPr baseColWidth="10" defaultColWidth="11.46484375" defaultRowHeight="14.25" x14ac:dyDescent="0.45"/>
  <cols>
    <col min="1" max="1" width="46.46484375" customWidth="1"/>
    <col min="2" max="2" width="6" style="17" customWidth="1"/>
    <col min="3" max="4" width="12.46484375" style="5" customWidth="1"/>
    <col min="5" max="5" width="11.265625" style="5" customWidth="1"/>
    <col min="6" max="8" width="11.265625" customWidth="1"/>
  </cols>
  <sheetData>
    <row r="1" spans="1:138" s="9" customFormat="1" ht="185.65" customHeight="1" x14ac:dyDescent="0.45">
      <c r="A1" s="78" t="s">
        <v>243</v>
      </c>
      <c r="B1" s="3" t="s">
        <v>247</v>
      </c>
      <c r="C1" s="79" t="s">
        <v>244</v>
      </c>
      <c r="D1" s="79" t="s">
        <v>245</v>
      </c>
      <c r="E1" s="79" t="s">
        <v>246</v>
      </c>
      <c r="F1" s="1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  <c r="CG1" s="53"/>
      <c r="CH1" s="53"/>
      <c r="CI1" s="53"/>
      <c r="CJ1" s="53"/>
      <c r="CK1" s="53"/>
      <c r="CL1" s="53"/>
      <c r="CM1" s="53"/>
      <c r="CN1" s="53"/>
      <c r="CO1" s="53"/>
      <c r="CP1" s="53"/>
      <c r="CQ1" s="53"/>
      <c r="CR1" s="53"/>
      <c r="CS1" s="53"/>
      <c r="CT1" s="53"/>
      <c r="CU1" s="53"/>
      <c r="CV1" s="53"/>
      <c r="CW1" s="53"/>
      <c r="CX1" s="53"/>
      <c r="CY1" s="53"/>
      <c r="CZ1" s="53"/>
      <c r="DA1" s="53"/>
      <c r="DB1" s="53"/>
      <c r="DC1" s="53"/>
      <c r="DD1" s="53"/>
      <c r="DE1" s="53"/>
      <c r="DF1" s="53"/>
      <c r="DG1" s="53"/>
      <c r="DH1" s="53"/>
      <c r="DI1" s="53"/>
      <c r="DJ1" s="53"/>
      <c r="DK1" s="53"/>
      <c r="DL1" s="53"/>
      <c r="DM1" s="53"/>
      <c r="DN1" s="53"/>
      <c r="DO1" s="53"/>
      <c r="DP1" s="53"/>
      <c r="DQ1" s="53"/>
      <c r="DR1" s="53"/>
      <c r="DS1" s="53"/>
      <c r="DT1" s="53"/>
      <c r="DU1" s="53"/>
      <c r="DV1" s="53"/>
      <c r="DW1" s="53"/>
      <c r="DX1" s="53"/>
      <c r="DY1" s="53"/>
      <c r="DZ1" s="53"/>
      <c r="EA1" s="53"/>
      <c r="EB1" s="53"/>
      <c r="EC1" s="53"/>
      <c r="ED1" s="53"/>
      <c r="EE1" s="53"/>
      <c r="EF1" s="53"/>
      <c r="EG1" s="53"/>
      <c r="EH1" s="53"/>
    </row>
    <row r="2" spans="1:138" x14ac:dyDescent="0.45">
      <c r="A2" s="33" t="s">
        <v>248</v>
      </c>
      <c r="B2" s="82" t="s">
        <v>0</v>
      </c>
      <c r="C2" s="21"/>
    </row>
    <row r="3" spans="1:138" x14ac:dyDescent="0.45">
      <c r="A3" s="33" t="s">
        <v>249</v>
      </c>
      <c r="B3" s="82" t="s">
        <v>0</v>
      </c>
    </row>
    <row r="4" spans="1:138" x14ac:dyDescent="0.45">
      <c r="A4" s="33" t="s">
        <v>250</v>
      </c>
      <c r="B4" s="82" t="s">
        <v>0</v>
      </c>
    </row>
    <row r="5" spans="1:138" x14ac:dyDescent="0.45">
      <c r="A5" s="33" t="s">
        <v>251</v>
      </c>
      <c r="B5" s="82" t="s">
        <v>0</v>
      </c>
    </row>
    <row r="6" spans="1:138" x14ac:dyDescent="0.45">
      <c r="A6" s="33" t="s">
        <v>252</v>
      </c>
      <c r="B6" s="82" t="s">
        <v>0</v>
      </c>
    </row>
    <row r="7" spans="1:138" x14ac:dyDescent="0.45">
      <c r="A7" s="33" t="s">
        <v>253</v>
      </c>
      <c r="B7" s="82" t="s">
        <v>0</v>
      </c>
    </row>
    <row r="8" spans="1:138" x14ac:dyDescent="0.45">
      <c r="A8" s="33" t="s">
        <v>254</v>
      </c>
      <c r="B8" s="82" t="s">
        <v>0</v>
      </c>
    </row>
    <row r="9" spans="1:138" x14ac:dyDescent="0.45">
      <c r="A9" s="33" t="s">
        <v>255</v>
      </c>
      <c r="B9" s="82" t="s">
        <v>0</v>
      </c>
    </row>
    <row r="10" spans="1:138" x14ac:dyDescent="0.45">
      <c r="A10" s="33" t="s">
        <v>256</v>
      </c>
      <c r="B10" s="82" t="s">
        <v>0</v>
      </c>
    </row>
    <row r="11" spans="1:138" x14ac:dyDescent="0.45">
      <c r="A11" s="33" t="s">
        <v>257</v>
      </c>
      <c r="B11" s="82" t="s">
        <v>0</v>
      </c>
    </row>
    <row r="12" spans="1:138" x14ac:dyDescent="0.45">
      <c r="A12" s="33" t="s">
        <v>258</v>
      </c>
      <c r="B12" s="82" t="s">
        <v>0</v>
      </c>
    </row>
    <row r="13" spans="1:138" x14ac:dyDescent="0.45">
      <c r="A13" s="33" t="s">
        <v>259</v>
      </c>
      <c r="B13" s="82" t="s">
        <v>0</v>
      </c>
    </row>
    <row r="14" spans="1:138" x14ac:dyDescent="0.45">
      <c r="A14" s="33" t="s">
        <v>260</v>
      </c>
      <c r="B14" s="82" t="s">
        <v>0</v>
      </c>
    </row>
    <row r="15" spans="1:138" x14ac:dyDescent="0.45">
      <c r="A15" s="80" t="s">
        <v>261</v>
      </c>
      <c r="B15" s="82" t="s">
        <v>0</v>
      </c>
    </row>
    <row r="16" spans="1:138" x14ac:dyDescent="0.45">
      <c r="A16" s="19" t="s">
        <v>262</v>
      </c>
      <c r="B16" s="82" t="s">
        <v>0</v>
      </c>
    </row>
    <row r="17" spans="1:2" x14ac:dyDescent="0.45">
      <c r="A17" s="19" t="s">
        <v>263</v>
      </c>
      <c r="B17" s="82" t="s">
        <v>0</v>
      </c>
    </row>
    <row r="18" spans="1:2" x14ac:dyDescent="0.45">
      <c r="A18" s="19" t="s">
        <v>264</v>
      </c>
      <c r="B18" s="82" t="s">
        <v>0</v>
      </c>
    </row>
    <row r="19" spans="1:2" x14ac:dyDescent="0.45">
      <c r="A19" s="19" t="s">
        <v>265</v>
      </c>
      <c r="B19" s="82" t="s">
        <v>0</v>
      </c>
    </row>
    <row r="20" spans="1:2" x14ac:dyDescent="0.45">
      <c r="A20" s="19" t="s">
        <v>266</v>
      </c>
      <c r="B20" s="82" t="s">
        <v>0</v>
      </c>
    </row>
    <row r="21" spans="1:2" x14ac:dyDescent="0.45">
      <c r="A21" s="19" t="s">
        <v>267</v>
      </c>
      <c r="B21" s="82" t="s">
        <v>0</v>
      </c>
    </row>
    <row r="22" spans="1:2" x14ac:dyDescent="0.45">
      <c r="A22" s="19" t="s">
        <v>268</v>
      </c>
      <c r="B22" s="82" t="s">
        <v>0</v>
      </c>
    </row>
    <row r="23" spans="1:2" x14ac:dyDescent="0.45">
      <c r="A23" s="33" t="s">
        <v>269</v>
      </c>
      <c r="B23" s="82" t="s">
        <v>0</v>
      </c>
    </row>
    <row r="24" spans="1:2" x14ac:dyDescent="0.45">
      <c r="A24" s="33" t="s">
        <v>1</v>
      </c>
      <c r="B24" s="82" t="s">
        <v>0</v>
      </c>
    </row>
    <row r="25" spans="1:2" x14ac:dyDescent="0.45">
      <c r="A25" s="33" t="s">
        <v>2</v>
      </c>
      <c r="B25" s="82" t="s">
        <v>0</v>
      </c>
    </row>
    <row r="26" spans="1:2" x14ac:dyDescent="0.45">
      <c r="A26" s="33" t="s">
        <v>3</v>
      </c>
      <c r="B26" s="82" t="s">
        <v>0</v>
      </c>
    </row>
    <row r="27" spans="1:2" x14ac:dyDescent="0.45">
      <c r="A27" s="33" t="s">
        <v>4</v>
      </c>
      <c r="B27" s="82" t="s">
        <v>0</v>
      </c>
    </row>
    <row r="28" spans="1:2" x14ac:dyDescent="0.45">
      <c r="A28" s="33" t="s">
        <v>5</v>
      </c>
      <c r="B28" s="82" t="s">
        <v>0</v>
      </c>
    </row>
    <row r="29" spans="1:2" x14ac:dyDescent="0.45">
      <c r="A29" s="33" t="s">
        <v>6</v>
      </c>
      <c r="B29" s="82" t="s">
        <v>0</v>
      </c>
    </row>
    <row r="30" spans="1:2" x14ac:dyDescent="0.45">
      <c r="A30" s="33" t="s">
        <v>7</v>
      </c>
      <c r="B30" s="82" t="s">
        <v>0</v>
      </c>
    </row>
    <row r="31" spans="1:2" x14ac:dyDescent="0.45">
      <c r="A31" s="33" t="s">
        <v>8</v>
      </c>
      <c r="B31" s="82" t="s">
        <v>0</v>
      </c>
    </row>
    <row r="32" spans="1:2" x14ac:dyDescent="0.45">
      <c r="A32" s="33" t="s">
        <v>9</v>
      </c>
      <c r="B32" s="82" t="s">
        <v>0</v>
      </c>
    </row>
    <row r="33" spans="1:2" x14ac:dyDescent="0.45">
      <c r="A33" s="33" t="s">
        <v>10</v>
      </c>
      <c r="B33" s="82" t="s">
        <v>0</v>
      </c>
    </row>
    <row r="34" spans="1:2" x14ac:dyDescent="0.45">
      <c r="A34" s="33" t="s">
        <v>11</v>
      </c>
      <c r="B34" s="82" t="s">
        <v>0</v>
      </c>
    </row>
    <row r="35" spans="1:2" x14ac:dyDescent="0.45">
      <c r="A35" s="33" t="s">
        <v>12</v>
      </c>
      <c r="B35" s="82" t="s">
        <v>0</v>
      </c>
    </row>
    <row r="36" spans="1:2" x14ac:dyDescent="0.45">
      <c r="A36" s="33" t="s">
        <v>13</v>
      </c>
      <c r="B36" s="82" t="s">
        <v>0</v>
      </c>
    </row>
    <row r="37" spans="1:2" x14ac:dyDescent="0.45">
      <c r="A37" s="23" t="s">
        <v>14</v>
      </c>
      <c r="B37" s="82" t="s">
        <v>0</v>
      </c>
    </row>
    <row r="38" spans="1:2" x14ac:dyDescent="0.45">
      <c r="A38" s="23" t="s">
        <v>15</v>
      </c>
      <c r="B38" s="82" t="s">
        <v>0</v>
      </c>
    </row>
    <row r="39" spans="1:2" x14ac:dyDescent="0.45">
      <c r="A39" s="23" t="s">
        <v>16</v>
      </c>
      <c r="B39" s="82" t="s">
        <v>0</v>
      </c>
    </row>
    <row r="40" spans="1:2" x14ac:dyDescent="0.45">
      <c r="A40" s="23" t="s">
        <v>17</v>
      </c>
      <c r="B40" s="82" t="s">
        <v>0</v>
      </c>
    </row>
    <row r="41" spans="1:2" x14ac:dyDescent="0.45">
      <c r="A41" s="23" t="s">
        <v>18</v>
      </c>
      <c r="B41" s="82" t="s">
        <v>0</v>
      </c>
    </row>
    <row r="42" spans="1:2" x14ac:dyDescent="0.45">
      <c r="A42" s="23" t="s">
        <v>19</v>
      </c>
      <c r="B42" s="82" t="s">
        <v>0</v>
      </c>
    </row>
    <row r="43" spans="1:2" x14ac:dyDescent="0.45">
      <c r="A43" s="23" t="s">
        <v>20</v>
      </c>
      <c r="B43" s="82" t="s">
        <v>0</v>
      </c>
    </row>
    <row r="44" spans="1:2" x14ac:dyDescent="0.45">
      <c r="A44" s="23" t="s">
        <v>21</v>
      </c>
      <c r="B44" s="82" t="s">
        <v>0</v>
      </c>
    </row>
    <row r="45" spans="1:2" x14ac:dyDescent="0.45">
      <c r="A45" s="23" t="s">
        <v>22</v>
      </c>
      <c r="B45" s="82" t="s">
        <v>0</v>
      </c>
    </row>
    <row r="46" spans="1:2" x14ac:dyDescent="0.45">
      <c r="A46" s="33" t="s">
        <v>23</v>
      </c>
      <c r="B46" s="82" t="s">
        <v>0</v>
      </c>
    </row>
    <row r="47" spans="1:2" x14ac:dyDescent="0.45">
      <c r="A47" s="33" t="s">
        <v>26</v>
      </c>
      <c r="B47" s="82" t="s">
        <v>0</v>
      </c>
    </row>
    <row r="48" spans="1:2" x14ac:dyDescent="0.45">
      <c r="A48" s="33" t="s">
        <v>27</v>
      </c>
      <c r="B48" s="82" t="s">
        <v>0</v>
      </c>
    </row>
    <row r="49" spans="1:2" x14ac:dyDescent="0.45">
      <c r="A49" s="23" t="s">
        <v>28</v>
      </c>
      <c r="B49" s="82" t="s">
        <v>0</v>
      </c>
    </row>
    <row r="50" spans="1:2" x14ac:dyDescent="0.45">
      <c r="A50" s="80" t="s">
        <v>29</v>
      </c>
      <c r="B50" s="82" t="s">
        <v>0</v>
      </c>
    </row>
    <row r="51" spans="1:2" x14ac:dyDescent="0.45">
      <c r="A51" s="33" t="s">
        <v>30</v>
      </c>
      <c r="B51" s="82" t="s">
        <v>0</v>
      </c>
    </row>
    <row r="52" spans="1:2" x14ac:dyDescent="0.45">
      <c r="A52" s="33" t="s">
        <v>31</v>
      </c>
      <c r="B52" s="82" t="s">
        <v>0</v>
      </c>
    </row>
    <row r="53" spans="1:2" x14ac:dyDescent="0.45">
      <c r="A53" s="23" t="s">
        <v>32</v>
      </c>
      <c r="B53" s="82" t="s">
        <v>0</v>
      </c>
    </row>
    <row r="54" spans="1:2" x14ac:dyDescent="0.45">
      <c r="A54" s="33" t="s">
        <v>33</v>
      </c>
      <c r="B54" s="82" t="s">
        <v>0</v>
      </c>
    </row>
    <row r="55" spans="1:2" x14ac:dyDescent="0.45">
      <c r="A55" s="23" t="s">
        <v>34</v>
      </c>
      <c r="B55" s="82" t="s">
        <v>0</v>
      </c>
    </row>
    <row r="56" spans="1:2" x14ac:dyDescent="0.45">
      <c r="A56" s="33" t="s">
        <v>35</v>
      </c>
      <c r="B56" s="82" t="s">
        <v>0</v>
      </c>
    </row>
    <row r="57" spans="1:2" x14ac:dyDescent="0.45">
      <c r="A57" s="23" t="s">
        <v>36</v>
      </c>
      <c r="B57" s="82" t="s">
        <v>0</v>
      </c>
    </row>
    <row r="58" spans="1:2" x14ac:dyDescent="0.45">
      <c r="A58" s="23" t="s">
        <v>37</v>
      </c>
      <c r="B58" s="82" t="s">
        <v>0</v>
      </c>
    </row>
    <row r="59" spans="1:2" x14ac:dyDescent="0.45">
      <c r="A59" s="23" t="s">
        <v>38</v>
      </c>
      <c r="B59" s="82" t="s">
        <v>0</v>
      </c>
    </row>
    <row r="60" spans="1:2" x14ac:dyDescent="0.45">
      <c r="A60" s="23" t="s">
        <v>39</v>
      </c>
      <c r="B60" s="82" t="s">
        <v>0</v>
      </c>
    </row>
    <row r="61" spans="1:2" x14ac:dyDescent="0.45">
      <c r="A61" s="23" t="s">
        <v>40</v>
      </c>
      <c r="B61" s="82" t="s">
        <v>0</v>
      </c>
    </row>
    <row r="62" spans="1:2" x14ac:dyDescent="0.45">
      <c r="A62" s="33" t="s">
        <v>241</v>
      </c>
      <c r="B62" s="82" t="s">
        <v>0</v>
      </c>
    </row>
    <row r="63" spans="1:2" x14ac:dyDescent="0.45">
      <c r="A63" s="33" t="s">
        <v>41</v>
      </c>
      <c r="B63" s="82" t="s">
        <v>0</v>
      </c>
    </row>
    <row r="64" spans="1:2" x14ac:dyDescent="0.45">
      <c r="A64" s="19" t="s">
        <v>42</v>
      </c>
      <c r="B64" s="82" t="s">
        <v>0</v>
      </c>
    </row>
    <row r="65" spans="1:2" x14ac:dyDescent="0.45">
      <c r="A65" s="33" t="s">
        <v>43</v>
      </c>
      <c r="B65" s="82" t="s">
        <v>0</v>
      </c>
    </row>
    <row r="66" spans="1:2" x14ac:dyDescent="0.45">
      <c r="A66" s="33" t="s">
        <v>44</v>
      </c>
      <c r="B66" s="82" t="s">
        <v>0</v>
      </c>
    </row>
    <row r="67" spans="1:2" x14ac:dyDescent="0.45">
      <c r="A67" s="33" t="s">
        <v>45</v>
      </c>
      <c r="B67" s="82" t="s">
        <v>0</v>
      </c>
    </row>
    <row r="68" spans="1:2" x14ac:dyDescent="0.45">
      <c r="A68" s="33" t="s">
        <v>46</v>
      </c>
      <c r="B68" s="82" t="s">
        <v>0</v>
      </c>
    </row>
    <row r="69" spans="1:2" x14ac:dyDescent="0.45">
      <c r="A69" s="19" t="s">
        <v>242</v>
      </c>
      <c r="B69" s="82" t="s">
        <v>0</v>
      </c>
    </row>
    <row r="70" spans="1:2" x14ac:dyDescent="0.45">
      <c r="A70" s="27" t="s">
        <v>48</v>
      </c>
      <c r="B70" s="82" t="s">
        <v>0</v>
      </c>
    </row>
    <row r="71" spans="1:2" x14ac:dyDescent="0.45">
      <c r="A71" s="27" t="s">
        <v>49</v>
      </c>
      <c r="B71" s="82" t="s">
        <v>0</v>
      </c>
    </row>
    <row r="72" spans="1:2" x14ac:dyDescent="0.45">
      <c r="A72" s="33" t="s">
        <v>50</v>
      </c>
      <c r="B72" s="82" t="s">
        <v>0</v>
      </c>
    </row>
    <row r="73" spans="1:2" x14ac:dyDescent="0.45">
      <c r="A73" s="33" t="s">
        <v>51</v>
      </c>
      <c r="B73" s="82" t="s">
        <v>0</v>
      </c>
    </row>
    <row r="74" spans="1:2" x14ac:dyDescent="0.45">
      <c r="A74" s="33" t="s">
        <v>52</v>
      </c>
      <c r="B74" s="82" t="s">
        <v>0</v>
      </c>
    </row>
    <row r="75" spans="1:2" x14ac:dyDescent="0.45">
      <c r="A75" s="33" t="s">
        <v>53</v>
      </c>
      <c r="B75" s="82" t="s">
        <v>0</v>
      </c>
    </row>
    <row r="76" spans="1:2" x14ac:dyDescent="0.45">
      <c r="A76" s="33" t="s">
        <v>54</v>
      </c>
      <c r="B76" s="82" t="s">
        <v>0</v>
      </c>
    </row>
    <row r="77" spans="1:2" x14ac:dyDescent="0.45">
      <c r="A77" s="33" t="s">
        <v>55</v>
      </c>
      <c r="B77" s="82" t="s">
        <v>0</v>
      </c>
    </row>
    <row r="78" spans="1:2" x14ac:dyDescent="0.45">
      <c r="A78" s="33" t="s">
        <v>56</v>
      </c>
      <c r="B78" s="82" t="s">
        <v>0</v>
      </c>
    </row>
    <row r="79" spans="1:2" x14ac:dyDescent="0.45">
      <c r="A79" s="33" t="s">
        <v>57</v>
      </c>
      <c r="B79" s="82" t="s">
        <v>0</v>
      </c>
    </row>
    <row r="80" spans="1:2" x14ac:dyDescent="0.45">
      <c r="A80" s="33" t="s">
        <v>58</v>
      </c>
      <c r="B80" s="82" t="s">
        <v>0</v>
      </c>
    </row>
    <row r="81" spans="1:142" x14ac:dyDescent="0.45">
      <c r="A81" s="19" t="s">
        <v>270</v>
      </c>
      <c r="B81" s="86" t="s">
        <v>170</v>
      </c>
    </row>
    <row r="82" spans="1:142" x14ac:dyDescent="0.45">
      <c r="A82" s="19" t="s">
        <v>271</v>
      </c>
      <c r="B82" s="86" t="s">
        <v>170</v>
      </c>
    </row>
    <row r="83" spans="1:142" s="5" customFormat="1" x14ac:dyDescent="0.45">
      <c r="A83" s="19" t="s">
        <v>272</v>
      </c>
      <c r="B83" s="86" t="s">
        <v>170</v>
      </c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</row>
    <row r="84" spans="1:142" s="5" customFormat="1" x14ac:dyDescent="0.45">
      <c r="A84" s="19" t="s">
        <v>273</v>
      </c>
      <c r="B84" s="86" t="s">
        <v>170</v>
      </c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</row>
    <row r="85" spans="1:142" s="5" customFormat="1" x14ac:dyDescent="0.45">
      <c r="A85" s="19" t="s">
        <v>274</v>
      </c>
      <c r="B85" s="86" t="s">
        <v>173</v>
      </c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</row>
    <row r="86" spans="1:142" s="5" customFormat="1" x14ac:dyDescent="0.45">
      <c r="A86" s="19" t="s">
        <v>275</v>
      </c>
      <c r="B86" s="86" t="s">
        <v>170</v>
      </c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</row>
    <row r="87" spans="1:142" s="5" customFormat="1" x14ac:dyDescent="0.45">
      <c r="A87" s="19" t="s">
        <v>276</v>
      </c>
      <c r="B87" s="86" t="s">
        <v>170</v>
      </c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</row>
    <row r="88" spans="1:142" s="5" customFormat="1" x14ac:dyDescent="0.45">
      <c r="A88" s="19" t="s">
        <v>277</v>
      </c>
      <c r="B88" s="86" t="s">
        <v>170</v>
      </c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</row>
    <row r="89" spans="1:142" s="5" customFormat="1" x14ac:dyDescent="0.45">
      <c r="A89" s="19" t="s">
        <v>278</v>
      </c>
      <c r="B89" s="86" t="s">
        <v>173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</row>
    <row r="90" spans="1:142" s="5" customFormat="1" x14ac:dyDescent="0.45">
      <c r="A90" s="19" t="s">
        <v>279</v>
      </c>
      <c r="B90" s="86" t="s">
        <v>173</v>
      </c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</row>
    <row r="91" spans="1:142" s="5" customFormat="1" x14ac:dyDescent="0.45">
      <c r="A91" s="19" t="s">
        <v>280</v>
      </c>
      <c r="B91" s="86" t="s">
        <v>170</v>
      </c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</row>
    <row r="92" spans="1:142" s="5" customFormat="1" x14ac:dyDescent="0.45">
      <c r="A92" s="19" t="s">
        <v>281</v>
      </c>
      <c r="B92" s="86" t="s">
        <v>170</v>
      </c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</row>
    <row r="93" spans="1:142" s="5" customFormat="1" x14ac:dyDescent="0.45">
      <c r="A93" s="19" t="s">
        <v>282</v>
      </c>
      <c r="B93" s="86" t="s">
        <v>173</v>
      </c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</row>
    <row r="94" spans="1:142" s="5" customFormat="1" x14ac:dyDescent="0.45">
      <c r="A94" s="19" t="s">
        <v>283</v>
      </c>
      <c r="B94" s="86" t="s">
        <v>173</v>
      </c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</row>
    <row r="95" spans="1:142" s="5" customFormat="1" x14ac:dyDescent="0.45">
      <c r="A95" s="19" t="s">
        <v>284</v>
      </c>
      <c r="B95" s="86" t="s">
        <v>173</v>
      </c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</row>
    <row r="96" spans="1:142" s="5" customFormat="1" x14ac:dyDescent="0.45">
      <c r="A96" s="19" t="s">
        <v>285</v>
      </c>
      <c r="B96" s="86" t="s">
        <v>173</v>
      </c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</row>
    <row r="97" spans="1:142" s="5" customFormat="1" x14ac:dyDescent="0.45">
      <c r="A97" s="19" t="s">
        <v>286</v>
      </c>
      <c r="B97" s="86" t="s">
        <v>173</v>
      </c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</row>
    <row r="98" spans="1:142" s="5" customFormat="1" x14ac:dyDescent="0.45">
      <c r="A98" s="19" t="s">
        <v>287</v>
      </c>
      <c r="B98" s="86" t="s">
        <v>173</v>
      </c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</row>
    <row r="99" spans="1:142" s="5" customFormat="1" x14ac:dyDescent="0.45">
      <c r="A99" s="19" t="s">
        <v>288</v>
      </c>
      <c r="B99" s="86" t="s">
        <v>173</v>
      </c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</row>
    <row r="100" spans="1:142" s="5" customFormat="1" x14ac:dyDescent="0.45">
      <c r="A100" s="19" t="s">
        <v>289</v>
      </c>
      <c r="B100" s="86" t="s">
        <v>170</v>
      </c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</row>
    <row r="101" spans="1:142" s="5" customFormat="1" x14ac:dyDescent="0.45">
      <c r="A101" s="19" t="s">
        <v>290</v>
      </c>
      <c r="B101" s="86" t="s">
        <v>170</v>
      </c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</row>
    <row r="102" spans="1:142" s="5" customFormat="1" x14ac:dyDescent="0.45">
      <c r="A102" s="19" t="s">
        <v>291</v>
      </c>
      <c r="B102" s="86" t="s">
        <v>170</v>
      </c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</row>
    <row r="103" spans="1:142" s="5" customFormat="1" x14ac:dyDescent="0.45">
      <c r="A103" s="19" t="s">
        <v>292</v>
      </c>
      <c r="B103" s="86" t="s">
        <v>170</v>
      </c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</row>
    <row r="104" spans="1:142" s="5" customFormat="1" x14ac:dyDescent="0.45">
      <c r="A104" s="19" t="s">
        <v>293</v>
      </c>
      <c r="B104" s="86" t="s">
        <v>170</v>
      </c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</row>
    <row r="105" spans="1:142" s="5" customFormat="1" x14ac:dyDescent="0.45">
      <c r="A105" s="19" t="s">
        <v>294</v>
      </c>
      <c r="B105" s="86" t="s">
        <v>170</v>
      </c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</row>
    <row r="106" spans="1:142" s="5" customFormat="1" x14ac:dyDescent="0.45">
      <c r="A106" s="19" t="s">
        <v>295</v>
      </c>
      <c r="B106" s="86" t="s">
        <v>170</v>
      </c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</row>
    <row r="107" spans="1:142" s="5" customFormat="1" x14ac:dyDescent="0.45">
      <c r="A107" s="19" t="s">
        <v>296</v>
      </c>
      <c r="B107" s="86" t="s">
        <v>170</v>
      </c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</row>
    <row r="108" spans="1:142" s="5" customFormat="1" x14ac:dyDescent="0.45">
      <c r="A108" s="19" t="s">
        <v>297</v>
      </c>
      <c r="B108" s="86" t="s">
        <v>170</v>
      </c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</row>
    <row r="109" spans="1:142" s="5" customFormat="1" x14ac:dyDescent="0.45">
      <c r="A109" s="19" t="s">
        <v>298</v>
      </c>
      <c r="B109" s="86" t="s">
        <v>173</v>
      </c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</row>
    <row r="110" spans="1:142" s="5" customFormat="1" x14ac:dyDescent="0.45">
      <c r="A110" s="19" t="s">
        <v>299</v>
      </c>
      <c r="B110" s="86" t="s">
        <v>173</v>
      </c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</row>
    <row r="111" spans="1:142" s="5" customFormat="1" x14ac:dyDescent="0.45">
      <c r="A111" s="27" t="s">
        <v>300</v>
      </c>
      <c r="B111" s="87" t="s">
        <v>173</v>
      </c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</row>
    <row r="112" spans="1:142" s="5" customFormat="1" x14ac:dyDescent="0.45">
      <c r="A112" s="19" t="s">
        <v>301</v>
      </c>
      <c r="B112" s="86" t="s">
        <v>170</v>
      </c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</row>
    <row r="113" spans="1:142" s="5" customFormat="1" x14ac:dyDescent="0.45">
      <c r="A113" s="19" t="s">
        <v>302</v>
      </c>
      <c r="B113" s="86" t="s">
        <v>170</v>
      </c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</row>
    <row r="114" spans="1:142" s="5" customFormat="1" x14ac:dyDescent="0.45">
      <c r="A114" s="19" t="s">
        <v>303</v>
      </c>
      <c r="B114" s="86" t="s">
        <v>170</v>
      </c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</row>
    <row r="115" spans="1:142" x14ac:dyDescent="0.45">
      <c r="A115" s="19" t="s">
        <v>304</v>
      </c>
      <c r="B115" s="86" t="s">
        <v>170</v>
      </c>
    </row>
    <row r="116" spans="1:142" ht="15.75" customHeight="1" x14ac:dyDescent="0.45">
      <c r="A116" s="81" t="s">
        <v>305</v>
      </c>
      <c r="B116" s="87" t="s">
        <v>173</v>
      </c>
    </row>
    <row r="117" spans="1:142" x14ac:dyDescent="0.45">
      <c r="A117" s="81" t="s">
        <v>306</v>
      </c>
      <c r="B117" s="87" t="s">
        <v>173</v>
      </c>
    </row>
    <row r="118" spans="1:142" x14ac:dyDescent="0.45">
      <c r="A118" s="19" t="s">
        <v>307</v>
      </c>
      <c r="B118" s="86" t="s">
        <v>170</v>
      </c>
    </row>
    <row r="119" spans="1:142" x14ac:dyDescent="0.45">
      <c r="A119" s="19" t="s">
        <v>308</v>
      </c>
      <c r="B119" s="86" t="s">
        <v>173</v>
      </c>
      <c r="C119" s="73"/>
    </row>
    <row r="120" spans="1:142" x14ac:dyDescent="0.45">
      <c r="A120" s="19" t="s">
        <v>309</v>
      </c>
      <c r="B120" s="86" t="s">
        <v>170</v>
      </c>
    </row>
    <row r="121" spans="1:142" x14ac:dyDescent="0.45">
      <c r="A121" s="19" t="s">
        <v>310</v>
      </c>
      <c r="B121" s="86" t="s">
        <v>170</v>
      </c>
    </row>
    <row r="122" spans="1:142" x14ac:dyDescent="0.45">
      <c r="A122" s="27" t="s">
        <v>311</v>
      </c>
      <c r="B122" s="87" t="s">
        <v>173</v>
      </c>
    </row>
    <row r="123" spans="1:142" x14ac:dyDescent="0.45">
      <c r="A123" s="27" t="s">
        <v>312</v>
      </c>
      <c r="B123" s="87" t="s">
        <v>173</v>
      </c>
    </row>
    <row r="124" spans="1:142" x14ac:dyDescent="0.45">
      <c r="A124" s="27" t="s">
        <v>313</v>
      </c>
      <c r="B124" s="87" t="s">
        <v>170</v>
      </c>
    </row>
    <row r="125" spans="1:142" x14ac:dyDescent="0.45">
      <c r="A125" s="19" t="s">
        <v>314</v>
      </c>
      <c r="B125" s="86" t="s">
        <v>170</v>
      </c>
    </row>
    <row r="126" spans="1:142" x14ac:dyDescent="0.45">
      <c r="A126" s="19" t="s">
        <v>315</v>
      </c>
      <c r="B126" s="86" t="s">
        <v>170</v>
      </c>
    </row>
    <row r="127" spans="1:142" x14ac:dyDescent="0.45">
      <c r="A127" s="19" t="s">
        <v>316</v>
      </c>
      <c r="B127" s="86" t="s">
        <v>173</v>
      </c>
    </row>
    <row r="128" spans="1:142" x14ac:dyDescent="0.45">
      <c r="A128" s="19" t="s">
        <v>317</v>
      </c>
      <c r="B128" s="86" t="s">
        <v>173</v>
      </c>
      <c r="C128" s="57"/>
      <c r="D128" s="21"/>
      <c r="E128" s="21"/>
      <c r="F128" s="7"/>
    </row>
    <row r="129" spans="1:6" x14ac:dyDescent="0.45">
      <c r="A129" s="27" t="s">
        <v>318</v>
      </c>
      <c r="B129" s="87" t="s">
        <v>170</v>
      </c>
      <c r="E129" s="21"/>
      <c r="F129" s="6"/>
    </row>
    <row r="130" spans="1:6" x14ac:dyDescent="0.45">
      <c r="A130" s="27" t="s">
        <v>319</v>
      </c>
      <c r="B130" s="87" t="s">
        <v>173</v>
      </c>
    </row>
    <row r="131" spans="1:6" x14ac:dyDescent="0.45">
      <c r="A131" s="19" t="s">
        <v>320</v>
      </c>
      <c r="B131" s="86" t="s">
        <v>170</v>
      </c>
    </row>
    <row r="132" spans="1:6" x14ac:dyDescent="0.45">
      <c r="A132" s="19" t="s">
        <v>321</v>
      </c>
      <c r="B132" s="88" t="s">
        <v>173</v>
      </c>
    </row>
    <row r="133" spans="1:6" x14ac:dyDescent="0.45">
      <c r="A133" s="27" t="s">
        <v>322</v>
      </c>
      <c r="B133" s="87" t="s">
        <v>0</v>
      </c>
    </row>
    <row r="134" spans="1:6" s="25" customFormat="1" x14ac:dyDescent="0.45">
      <c r="A134" s="19" t="s">
        <v>323</v>
      </c>
      <c r="B134" s="87" t="s">
        <v>170</v>
      </c>
      <c r="C134" s="6"/>
      <c r="D134" s="6"/>
      <c r="E134" s="6"/>
    </row>
    <row r="135" spans="1:6" s="25" customFormat="1" x14ac:dyDescent="0.45">
      <c r="A135" s="19" t="s">
        <v>324</v>
      </c>
      <c r="B135" s="87" t="s">
        <v>170</v>
      </c>
      <c r="C135" s="6"/>
      <c r="D135" s="6"/>
      <c r="E135" s="6"/>
    </row>
    <row r="136" spans="1:6" s="25" customFormat="1" x14ac:dyDescent="0.45">
      <c r="A136" s="19" t="s">
        <v>325</v>
      </c>
      <c r="B136" s="82" t="s">
        <v>170</v>
      </c>
      <c r="C136" s="6"/>
      <c r="D136" s="6"/>
      <c r="E136" s="6"/>
    </row>
    <row r="137" spans="1:6" s="25" customFormat="1" x14ac:dyDescent="0.45">
      <c r="A137" s="19" t="s">
        <v>326</v>
      </c>
      <c r="B137" s="82" t="s">
        <v>170</v>
      </c>
      <c r="C137" s="6"/>
      <c r="D137" s="6"/>
      <c r="E137" s="6"/>
    </row>
    <row r="138" spans="1:6" x14ac:dyDescent="0.45">
      <c r="A138" s="19" t="s">
        <v>327</v>
      </c>
      <c r="B138" s="82" t="s">
        <v>173</v>
      </c>
      <c r="C138" s="21"/>
      <c r="D138" s="21"/>
      <c r="E138" s="21"/>
    </row>
    <row r="139" spans="1:6" x14ac:dyDescent="0.45">
      <c r="A139" s="19" t="s">
        <v>328</v>
      </c>
      <c r="B139" s="82" t="s">
        <v>170</v>
      </c>
    </row>
    <row r="140" spans="1:6" x14ac:dyDescent="0.45">
      <c r="A140" s="19" t="s">
        <v>329</v>
      </c>
      <c r="B140" s="82" t="s">
        <v>170</v>
      </c>
    </row>
    <row r="141" spans="1:6" x14ac:dyDescent="0.45">
      <c r="A141" s="19" t="s">
        <v>330</v>
      </c>
      <c r="B141" s="82" t="s">
        <v>170</v>
      </c>
    </row>
    <row r="142" spans="1:6" x14ac:dyDescent="0.45">
      <c r="A142" s="19" t="s">
        <v>331</v>
      </c>
      <c r="B142" s="17" t="s">
        <v>173</v>
      </c>
    </row>
    <row r="143" spans="1:6" s="25" customFormat="1" x14ac:dyDescent="0.45">
      <c r="A143" s="19" t="s">
        <v>332</v>
      </c>
      <c r="B143" s="17" t="s">
        <v>173</v>
      </c>
      <c r="C143" s="6"/>
      <c r="D143" s="6"/>
      <c r="E143" s="6"/>
    </row>
    <row r="144" spans="1:6" x14ac:dyDescent="0.45">
      <c r="A144" s="19" t="s">
        <v>333</v>
      </c>
      <c r="B144" s="17" t="s">
        <v>170</v>
      </c>
      <c r="C144" s="21"/>
    </row>
    <row r="145" spans="1:5" x14ac:dyDescent="0.45">
      <c r="A145" s="19" t="s">
        <v>334</v>
      </c>
      <c r="B145" s="17" t="s">
        <v>170</v>
      </c>
      <c r="C145" s="21"/>
      <c r="E145" s="21"/>
    </row>
    <row r="146" spans="1:5" x14ac:dyDescent="0.45">
      <c r="A146" s="19" t="s">
        <v>335</v>
      </c>
      <c r="B146" s="17" t="s">
        <v>173</v>
      </c>
      <c r="C146" s="21"/>
      <c r="D146" s="21"/>
      <c r="E146" s="21"/>
    </row>
    <row r="147" spans="1:5" x14ac:dyDescent="0.45">
      <c r="A147" s="19" t="s">
        <v>336</v>
      </c>
      <c r="B147" s="17" t="s">
        <v>173</v>
      </c>
      <c r="C147" s="21"/>
      <c r="D147" s="21"/>
      <c r="E147" s="21"/>
    </row>
    <row r="148" spans="1:5" x14ac:dyDescent="0.45">
      <c r="A148" s="19" t="s">
        <v>337</v>
      </c>
      <c r="B148" s="17" t="s">
        <v>173</v>
      </c>
    </row>
    <row r="149" spans="1:5" s="25" customFormat="1" x14ac:dyDescent="0.45">
      <c r="A149" s="19" t="s">
        <v>338</v>
      </c>
      <c r="B149" s="17" t="s">
        <v>173</v>
      </c>
      <c r="C149" s="6"/>
      <c r="D149" s="6"/>
      <c r="E149" s="6"/>
    </row>
    <row r="150" spans="1:5" s="25" customFormat="1" x14ac:dyDescent="0.45">
      <c r="A150" s="19" t="s">
        <v>339</v>
      </c>
      <c r="B150" s="17" t="s">
        <v>173</v>
      </c>
      <c r="C150" s="6"/>
      <c r="D150" s="6"/>
      <c r="E150" s="6"/>
    </row>
    <row r="151" spans="1:5" s="25" customFormat="1" x14ac:dyDescent="0.45">
      <c r="A151" s="19" t="s">
        <v>340</v>
      </c>
      <c r="B151" s="17" t="s">
        <v>173</v>
      </c>
      <c r="C151" s="6"/>
      <c r="D151" s="6"/>
      <c r="E151" s="6"/>
    </row>
    <row r="152" spans="1:5" s="25" customFormat="1" x14ac:dyDescent="0.45">
      <c r="A152" s="19" t="s">
        <v>341</v>
      </c>
      <c r="B152" s="17" t="s">
        <v>173</v>
      </c>
      <c r="C152" s="6"/>
      <c r="D152" s="6"/>
      <c r="E152" s="6"/>
    </row>
    <row r="153" spans="1:5" x14ac:dyDescent="0.45">
      <c r="A153" s="19" t="s">
        <v>342</v>
      </c>
      <c r="B153" s="17" t="s">
        <v>170</v>
      </c>
    </row>
    <row r="154" spans="1:5" x14ac:dyDescent="0.45">
      <c r="A154" s="19" t="s">
        <v>343</v>
      </c>
      <c r="B154" s="17" t="s">
        <v>170</v>
      </c>
    </row>
    <row r="155" spans="1:5" x14ac:dyDescent="0.45">
      <c r="A155" s="19" t="s">
        <v>344</v>
      </c>
      <c r="B155" s="17" t="s">
        <v>170</v>
      </c>
    </row>
    <row r="156" spans="1:5" x14ac:dyDescent="0.45">
      <c r="A156" s="19" t="s">
        <v>345</v>
      </c>
      <c r="B156" s="17" t="s">
        <v>170</v>
      </c>
    </row>
    <row r="157" spans="1:5" x14ac:dyDescent="0.45">
      <c r="A157" s="19" t="s">
        <v>346</v>
      </c>
      <c r="B157" s="17" t="s">
        <v>170</v>
      </c>
    </row>
    <row r="158" spans="1:5" x14ac:dyDescent="0.45">
      <c r="A158" s="19" t="s">
        <v>347</v>
      </c>
      <c r="B158" s="17" t="s">
        <v>170</v>
      </c>
    </row>
    <row r="159" spans="1:5" s="25" customFormat="1" x14ac:dyDescent="0.45">
      <c r="A159" s="19" t="s">
        <v>348</v>
      </c>
      <c r="B159" s="17" t="s">
        <v>170</v>
      </c>
      <c r="C159" s="6"/>
      <c r="D159" s="6"/>
      <c r="E159" s="6"/>
    </row>
    <row r="160" spans="1:5" x14ac:dyDescent="0.45">
      <c r="A160" s="19" t="s">
        <v>349</v>
      </c>
      <c r="B160" s="17" t="s">
        <v>170</v>
      </c>
    </row>
    <row r="161" spans="1:5" x14ac:dyDescent="0.45">
      <c r="A161" s="19" t="s">
        <v>350</v>
      </c>
      <c r="B161" s="17" t="s">
        <v>170</v>
      </c>
    </row>
    <row r="162" spans="1:5" x14ac:dyDescent="0.45">
      <c r="A162" s="19" t="s">
        <v>351</v>
      </c>
      <c r="B162" s="17" t="s">
        <v>173</v>
      </c>
    </row>
    <row r="163" spans="1:5" s="25" customFormat="1" x14ac:dyDescent="0.45">
      <c r="A163" s="19" t="s">
        <v>352</v>
      </c>
      <c r="B163" s="17" t="s">
        <v>173</v>
      </c>
      <c r="C163" s="6"/>
      <c r="D163" s="6"/>
      <c r="E163" s="6"/>
    </row>
    <row r="164" spans="1:5" s="25" customFormat="1" x14ac:dyDescent="0.45">
      <c r="A164" s="19" t="s">
        <v>353</v>
      </c>
      <c r="B164" s="42" t="s">
        <v>173</v>
      </c>
      <c r="C164" s="6"/>
      <c r="D164" s="6"/>
      <c r="E164" s="6"/>
    </row>
    <row r="165" spans="1:5" s="25" customFormat="1" x14ac:dyDescent="0.45">
      <c r="A165" s="19" t="s">
        <v>354</v>
      </c>
      <c r="B165" s="17" t="s">
        <v>170</v>
      </c>
      <c r="C165" s="6"/>
      <c r="D165" s="6"/>
      <c r="E165" s="6"/>
    </row>
    <row r="166" spans="1:5" s="25" customFormat="1" x14ac:dyDescent="0.45">
      <c r="A166" s="19" t="s">
        <v>355</v>
      </c>
      <c r="B166" s="17" t="s">
        <v>170</v>
      </c>
      <c r="C166" s="6"/>
      <c r="D166" s="6"/>
      <c r="E166" s="6"/>
    </row>
    <row r="167" spans="1:5" x14ac:dyDescent="0.45">
      <c r="A167" s="19" t="s">
        <v>356</v>
      </c>
      <c r="B167" s="17" t="s">
        <v>170</v>
      </c>
    </row>
    <row r="168" spans="1:5" s="25" customFormat="1" x14ac:dyDescent="0.45">
      <c r="A168" s="19" t="s">
        <v>357</v>
      </c>
      <c r="B168" s="17" t="s">
        <v>170</v>
      </c>
      <c r="C168" s="6"/>
      <c r="D168" s="6"/>
      <c r="E168" s="6"/>
    </row>
    <row r="169" spans="1:5" s="25" customFormat="1" x14ac:dyDescent="0.45">
      <c r="A169" s="19" t="s">
        <v>358</v>
      </c>
      <c r="B169" s="17" t="s">
        <v>173</v>
      </c>
      <c r="C169" s="6"/>
      <c r="D169" s="6"/>
      <c r="E169" s="6"/>
    </row>
    <row r="170" spans="1:5" x14ac:dyDescent="0.45">
      <c r="A170" s="19" t="s">
        <v>359</v>
      </c>
      <c r="B170" s="17" t="s">
        <v>173</v>
      </c>
    </row>
    <row r="171" spans="1:5" x14ac:dyDescent="0.45">
      <c r="A171" s="19" t="s">
        <v>360</v>
      </c>
      <c r="B171" s="17" t="s">
        <v>170</v>
      </c>
    </row>
    <row r="172" spans="1:5" x14ac:dyDescent="0.45">
      <c r="A172" s="19" t="s">
        <v>361</v>
      </c>
      <c r="B172" s="17" t="s">
        <v>170</v>
      </c>
    </row>
    <row r="173" spans="1:5" x14ac:dyDescent="0.45">
      <c r="A173" s="19" t="s">
        <v>362</v>
      </c>
      <c r="B173" s="17" t="s">
        <v>170</v>
      </c>
      <c r="C173" s="21"/>
      <c r="D173" s="21"/>
      <c r="E173" s="21"/>
    </row>
    <row r="174" spans="1:5" x14ac:dyDescent="0.45">
      <c r="A174" s="19" t="s">
        <v>363</v>
      </c>
      <c r="B174" s="17" t="s">
        <v>173</v>
      </c>
    </row>
    <row r="175" spans="1:5" x14ac:dyDescent="0.45">
      <c r="A175" s="19" t="s">
        <v>364</v>
      </c>
      <c r="B175" s="82" t="s">
        <v>170</v>
      </c>
      <c r="E175" s="21"/>
    </row>
    <row r="176" spans="1:5" x14ac:dyDescent="0.45">
      <c r="A176" s="19" t="s">
        <v>365</v>
      </c>
      <c r="B176" s="17" t="s">
        <v>170</v>
      </c>
    </row>
    <row r="177" spans="1:5" s="25" customFormat="1" x14ac:dyDescent="0.45">
      <c r="A177" s="19" t="s">
        <v>366</v>
      </c>
      <c r="B177" s="17" t="s">
        <v>173</v>
      </c>
      <c r="C177" s="6"/>
      <c r="D177" s="6"/>
      <c r="E177" s="6"/>
    </row>
    <row r="178" spans="1:5" s="25" customFormat="1" x14ac:dyDescent="0.45">
      <c r="A178" s="19" t="s">
        <v>367</v>
      </c>
      <c r="B178" s="17" t="s">
        <v>173</v>
      </c>
      <c r="C178" s="6"/>
      <c r="D178" s="6"/>
      <c r="E178" s="6"/>
    </row>
    <row r="179" spans="1:5" s="25" customFormat="1" x14ac:dyDescent="0.45">
      <c r="A179" s="27" t="s">
        <v>368</v>
      </c>
      <c r="B179" s="42" t="s">
        <v>170</v>
      </c>
      <c r="C179" s="6"/>
      <c r="D179" s="6"/>
      <c r="E179" s="6"/>
    </row>
    <row r="180" spans="1:5" s="25" customFormat="1" x14ac:dyDescent="0.45">
      <c r="A180" s="27" t="s">
        <v>369</v>
      </c>
      <c r="B180" s="42" t="s">
        <v>173</v>
      </c>
      <c r="C180" s="6"/>
      <c r="D180" s="6"/>
      <c r="E180" s="6"/>
    </row>
    <row r="181" spans="1:5" s="25" customFormat="1" x14ac:dyDescent="0.45">
      <c r="A181" s="19" t="s">
        <v>370</v>
      </c>
      <c r="B181" s="17" t="s">
        <v>170</v>
      </c>
      <c r="C181" s="6"/>
      <c r="D181" s="6"/>
      <c r="E181" s="6"/>
    </row>
    <row r="182" spans="1:5" s="25" customFormat="1" x14ac:dyDescent="0.45">
      <c r="A182" s="19" t="s">
        <v>371</v>
      </c>
      <c r="B182" s="17" t="s">
        <v>173</v>
      </c>
      <c r="C182" s="6"/>
      <c r="D182" s="6"/>
      <c r="E182" s="6"/>
    </row>
    <row r="183" spans="1:5" x14ac:dyDescent="0.45">
      <c r="A183" s="19" t="s">
        <v>372</v>
      </c>
      <c r="B183" s="17" t="s">
        <v>0</v>
      </c>
    </row>
    <row r="184" spans="1:5" x14ac:dyDescent="0.45">
      <c r="A184" s="19" t="s">
        <v>373</v>
      </c>
      <c r="B184" s="17" t="s">
        <v>0</v>
      </c>
    </row>
    <row r="185" spans="1:5" x14ac:dyDescent="0.45">
      <c r="A185" s="19" t="s">
        <v>374</v>
      </c>
      <c r="B185" s="17" t="s">
        <v>0</v>
      </c>
    </row>
    <row r="186" spans="1:5" x14ac:dyDescent="0.45">
      <c r="A186" s="19" t="s">
        <v>375</v>
      </c>
      <c r="B186" s="17" t="s">
        <v>0</v>
      </c>
    </row>
    <row r="187" spans="1:5" s="25" customFormat="1" x14ac:dyDescent="0.45">
      <c r="A187" s="19" t="s">
        <v>376</v>
      </c>
      <c r="B187" s="17" t="s">
        <v>0</v>
      </c>
      <c r="C187" s="6"/>
      <c r="D187" s="6"/>
      <c r="E187" s="6"/>
    </row>
    <row r="188" spans="1:5" s="25" customFormat="1" x14ac:dyDescent="0.45">
      <c r="A188" s="19" t="s">
        <v>377</v>
      </c>
      <c r="B188" s="17" t="s">
        <v>0</v>
      </c>
      <c r="C188" s="6"/>
      <c r="D188" s="6"/>
      <c r="E188" s="6"/>
    </row>
    <row r="189" spans="1:5" s="25" customFormat="1" x14ac:dyDescent="0.45">
      <c r="A189" s="19" t="s">
        <v>378</v>
      </c>
      <c r="B189" s="17" t="s">
        <v>0</v>
      </c>
      <c r="C189" s="6"/>
      <c r="D189" s="6"/>
      <c r="E189" s="6"/>
    </row>
    <row r="190" spans="1:5" s="25" customFormat="1" x14ac:dyDescent="0.45">
      <c r="A190" s="19" t="s">
        <v>379</v>
      </c>
      <c r="B190" s="17" t="s">
        <v>0</v>
      </c>
      <c r="C190" s="8"/>
      <c r="D190" s="8"/>
      <c r="E190" s="8"/>
    </row>
    <row r="191" spans="1:5" x14ac:dyDescent="0.45">
      <c r="A191" s="19" t="s">
        <v>380</v>
      </c>
      <c r="B191" s="17" t="s">
        <v>0</v>
      </c>
      <c r="C191" s="21"/>
      <c r="D191" s="21"/>
      <c r="E191" s="21"/>
    </row>
    <row r="192" spans="1:5" x14ac:dyDescent="0.45">
      <c r="A192" s="19" t="s">
        <v>381</v>
      </c>
      <c r="B192" s="17" t="s">
        <v>0</v>
      </c>
    </row>
    <row r="193" spans="1:5" s="25" customFormat="1" x14ac:dyDescent="0.45">
      <c r="A193" s="19" t="s">
        <v>382</v>
      </c>
      <c r="B193" s="17" t="s">
        <v>0</v>
      </c>
      <c r="C193" s="6"/>
      <c r="D193" s="6"/>
      <c r="E193" s="6"/>
    </row>
    <row r="194" spans="1:5" s="25" customFormat="1" x14ac:dyDescent="0.45">
      <c r="A194" s="19" t="s">
        <v>383</v>
      </c>
      <c r="B194" s="17" t="s">
        <v>0</v>
      </c>
      <c r="C194" s="6"/>
      <c r="D194" s="6"/>
      <c r="E194" s="6"/>
    </row>
    <row r="195" spans="1:5" s="25" customFormat="1" x14ac:dyDescent="0.45">
      <c r="A195" s="19" t="s">
        <v>384</v>
      </c>
      <c r="B195" s="17" t="s">
        <v>0</v>
      </c>
      <c r="C195" s="6"/>
      <c r="D195" s="6"/>
      <c r="E195" s="6"/>
    </row>
    <row r="196" spans="1:5" s="25" customFormat="1" x14ac:dyDescent="0.45">
      <c r="A196" s="19" t="s">
        <v>385</v>
      </c>
      <c r="B196" s="17" t="s">
        <v>0</v>
      </c>
      <c r="C196" s="6"/>
      <c r="D196" s="6"/>
      <c r="E196" s="6"/>
    </row>
    <row r="197" spans="1:5" x14ac:dyDescent="0.45">
      <c r="A197" s="19" t="s">
        <v>386</v>
      </c>
      <c r="B197" s="17" t="s">
        <v>0</v>
      </c>
    </row>
    <row r="198" spans="1:5" x14ac:dyDescent="0.45">
      <c r="A198" s="19" t="s">
        <v>387</v>
      </c>
      <c r="B198" s="17" t="s">
        <v>0</v>
      </c>
    </row>
    <row r="199" spans="1:5" x14ac:dyDescent="0.45">
      <c r="A199" s="19" t="s">
        <v>388</v>
      </c>
      <c r="B199" s="17" t="s">
        <v>0</v>
      </c>
    </row>
    <row r="200" spans="1:5" x14ac:dyDescent="0.45">
      <c r="A200" s="19" t="s">
        <v>389</v>
      </c>
      <c r="B200" s="17" t="s">
        <v>0</v>
      </c>
    </row>
    <row r="201" spans="1:5" s="25" customFormat="1" x14ac:dyDescent="0.45">
      <c r="A201" s="19" t="s">
        <v>117</v>
      </c>
      <c r="B201" s="17" t="s">
        <v>0</v>
      </c>
      <c r="C201" s="6"/>
      <c r="D201" s="6"/>
      <c r="E201" s="6"/>
    </row>
    <row r="202" spans="1:5" s="25" customFormat="1" x14ac:dyDescent="0.45">
      <c r="A202" s="19" t="s">
        <v>118</v>
      </c>
      <c r="B202" s="17" t="s">
        <v>0</v>
      </c>
      <c r="C202" s="6"/>
      <c r="D202" s="6"/>
      <c r="E202" s="6"/>
    </row>
    <row r="203" spans="1:5" x14ac:dyDescent="0.45">
      <c r="A203" s="19" t="s">
        <v>119</v>
      </c>
      <c r="B203" s="17" t="s">
        <v>0</v>
      </c>
    </row>
    <row r="204" spans="1:5" x14ac:dyDescent="0.45">
      <c r="A204" s="27" t="s">
        <v>120</v>
      </c>
      <c r="B204" s="82" t="s">
        <v>0</v>
      </c>
    </row>
    <row r="205" spans="1:5" x14ac:dyDescent="0.45">
      <c r="A205" s="27" t="s">
        <v>121</v>
      </c>
      <c r="B205" s="82" t="s">
        <v>0</v>
      </c>
    </row>
    <row r="206" spans="1:5" x14ac:dyDescent="0.45">
      <c r="A206" s="80" t="s">
        <v>122</v>
      </c>
      <c r="B206" s="17" t="s">
        <v>0</v>
      </c>
    </row>
    <row r="207" spans="1:5" s="25" customFormat="1" x14ac:dyDescent="0.45">
      <c r="A207" s="19" t="s">
        <v>123</v>
      </c>
      <c r="B207" s="17" t="s">
        <v>0</v>
      </c>
      <c r="C207" s="6"/>
      <c r="D207" s="6"/>
      <c r="E207" s="6"/>
    </row>
    <row r="208" spans="1:5" s="25" customFormat="1" x14ac:dyDescent="0.45">
      <c r="A208" s="19" t="s">
        <v>124</v>
      </c>
      <c r="B208" s="17" t="s">
        <v>0</v>
      </c>
      <c r="C208" s="6"/>
      <c r="D208" s="6"/>
      <c r="E208" s="6"/>
    </row>
    <row r="209" spans="1:9" s="25" customFormat="1" x14ac:dyDescent="0.45">
      <c r="A209" s="19" t="s">
        <v>125</v>
      </c>
      <c r="B209" s="17" t="s">
        <v>0</v>
      </c>
      <c r="C209" s="6"/>
      <c r="D209" s="6"/>
      <c r="E209" s="6"/>
    </row>
    <row r="210" spans="1:9" s="25" customFormat="1" x14ac:dyDescent="0.45">
      <c r="A210" s="19" t="s">
        <v>126</v>
      </c>
      <c r="B210" s="17" t="s">
        <v>0</v>
      </c>
      <c r="C210" s="6"/>
      <c r="D210" s="6"/>
      <c r="E210" s="6"/>
    </row>
    <row r="211" spans="1:9" s="25" customFormat="1" x14ac:dyDescent="0.45">
      <c r="A211" s="19" t="s">
        <v>127</v>
      </c>
      <c r="B211" s="17" t="s">
        <v>0</v>
      </c>
      <c r="C211" s="6"/>
      <c r="D211" s="6"/>
      <c r="E211" s="6"/>
    </row>
    <row r="212" spans="1:9" x14ac:dyDescent="0.45">
      <c r="A212" s="19" t="s">
        <v>128</v>
      </c>
      <c r="B212" s="17" t="s">
        <v>0</v>
      </c>
      <c r="C212" s="21"/>
      <c r="D212" s="21"/>
      <c r="E212" s="21"/>
    </row>
    <row r="213" spans="1:9" x14ac:dyDescent="0.45">
      <c r="A213" s="19" t="s">
        <v>129</v>
      </c>
      <c r="B213" s="17" t="s">
        <v>0</v>
      </c>
    </row>
    <row r="214" spans="1:9" s="24" customFormat="1" x14ac:dyDescent="0.45">
      <c r="A214" s="19" t="s">
        <v>130</v>
      </c>
      <c r="B214" s="17" t="s">
        <v>0</v>
      </c>
      <c r="C214" s="73"/>
      <c r="D214" s="73"/>
      <c r="E214" s="73"/>
    </row>
    <row r="215" spans="1:9" x14ac:dyDescent="0.45">
      <c r="A215" s="24" t="s">
        <v>131</v>
      </c>
      <c r="B215" s="15"/>
    </row>
    <row r="216" spans="1:9" x14ac:dyDescent="0.45">
      <c r="A216" s="24" t="s">
        <v>132</v>
      </c>
      <c r="B216" s="82" t="s">
        <v>0</v>
      </c>
    </row>
    <row r="217" spans="1:9" x14ac:dyDescent="0.45">
      <c r="A217" s="9" t="s">
        <v>136</v>
      </c>
      <c r="B217" s="41" t="s">
        <v>134</v>
      </c>
    </row>
    <row r="218" spans="1:9" x14ac:dyDescent="0.45">
      <c r="A218" t="s">
        <v>224</v>
      </c>
      <c r="B218" s="17">
        <f>COUNTIF($B$2:$B$217,"A")</f>
        <v>59</v>
      </c>
      <c r="C218" s="43">
        <f t="shared" ref="C218:I218" si="0">COUNTIFS($B$2:$B$217,"=A",C$2:C$217,"*")</f>
        <v>0</v>
      </c>
      <c r="D218" s="43">
        <f t="shared" si="0"/>
        <v>0</v>
      </c>
      <c r="E218" s="43">
        <f t="shared" si="0"/>
        <v>0</v>
      </c>
      <c r="F218" s="43">
        <f t="shared" si="0"/>
        <v>0</v>
      </c>
      <c r="G218" s="43">
        <f t="shared" si="0"/>
        <v>0</v>
      </c>
      <c r="H218" s="43">
        <f t="shared" si="0"/>
        <v>0</v>
      </c>
      <c r="I218" s="43">
        <f t="shared" si="0"/>
        <v>0</v>
      </c>
    </row>
    <row r="219" spans="1:9" x14ac:dyDescent="0.45">
      <c r="A219" t="s">
        <v>225</v>
      </c>
      <c r="B219" s="17">
        <f>COUNTIF($B$2:$B$217,"AA")</f>
        <v>42</v>
      </c>
      <c r="C219" s="44">
        <f t="shared" ref="C219:I219" si="1">COUNTIFS($B$2:$B$217,"=AA",C$2:C$217,"*")</f>
        <v>0</v>
      </c>
      <c r="D219" s="44">
        <f t="shared" si="1"/>
        <v>0</v>
      </c>
      <c r="E219" s="44">
        <f t="shared" si="1"/>
        <v>0</v>
      </c>
      <c r="F219" s="44">
        <f t="shared" si="1"/>
        <v>0</v>
      </c>
      <c r="G219" s="44">
        <f t="shared" si="1"/>
        <v>0</v>
      </c>
      <c r="H219" s="44">
        <f t="shared" si="1"/>
        <v>0</v>
      </c>
      <c r="I219" s="44">
        <f t="shared" si="1"/>
        <v>0</v>
      </c>
    </row>
    <row r="220" spans="1:9" s="25" customFormat="1" x14ac:dyDescent="0.45">
      <c r="A220" s="39" t="s">
        <v>226</v>
      </c>
      <c r="B220" s="37">
        <f>COUNTIF($B$2:$B$217,"AAA")</f>
        <v>0</v>
      </c>
      <c r="C220" s="83">
        <f t="shared" ref="C220:I220" si="2">COUNTIFS($B$2:$B$217,"=AAA",C$2:C$217,"*")</f>
        <v>0</v>
      </c>
      <c r="D220" s="83">
        <f t="shared" si="2"/>
        <v>0</v>
      </c>
      <c r="E220" s="83">
        <f t="shared" si="2"/>
        <v>0</v>
      </c>
      <c r="F220" s="83">
        <f t="shared" si="2"/>
        <v>0</v>
      </c>
      <c r="G220" s="83">
        <f t="shared" si="2"/>
        <v>0</v>
      </c>
      <c r="H220" s="83">
        <f t="shared" si="2"/>
        <v>0</v>
      </c>
      <c r="I220" s="83">
        <f t="shared" si="2"/>
        <v>0</v>
      </c>
    </row>
    <row r="221" spans="1:9" s="33" customFormat="1" x14ac:dyDescent="0.45">
      <c r="A221" t="s">
        <v>228</v>
      </c>
      <c r="B221" s="42">
        <f>COUNTIF($B$2:$B$217,"shall")</f>
        <v>113</v>
      </c>
      <c r="C221" s="44">
        <f t="shared" ref="C221:I221" si="3">COUNTIFS($B$2:$B$217,"=shall",C$2:C$217,"*")</f>
        <v>0</v>
      </c>
      <c r="D221" s="44">
        <f t="shared" si="3"/>
        <v>0</v>
      </c>
      <c r="E221" s="44">
        <f t="shared" si="3"/>
        <v>0</v>
      </c>
      <c r="F221" s="44">
        <f t="shared" si="3"/>
        <v>0</v>
      </c>
      <c r="G221" s="44">
        <f t="shared" si="3"/>
        <v>0</v>
      </c>
      <c r="H221" s="44">
        <f t="shared" si="3"/>
        <v>0</v>
      </c>
      <c r="I221" s="44">
        <f t="shared" si="3"/>
        <v>0</v>
      </c>
    </row>
    <row r="222" spans="1:9" s="25" customFormat="1" x14ac:dyDescent="0.45">
      <c r="A222" s="48" t="s">
        <v>227</v>
      </c>
      <c r="B222" s="46">
        <f>COUNTIF($B$2:$B$217,"should")</f>
        <v>0</v>
      </c>
      <c r="C222" s="84">
        <f t="shared" ref="C222:I222" si="4">COUNTIFS($B$2:$B$217,"=should",C$2:C$217,"*")</f>
        <v>0</v>
      </c>
      <c r="D222" s="85">
        <f t="shared" si="4"/>
        <v>0</v>
      </c>
      <c r="E222" s="85">
        <f t="shared" si="4"/>
        <v>0</v>
      </c>
      <c r="F222" s="85">
        <f t="shared" si="4"/>
        <v>0</v>
      </c>
      <c r="G222" s="85">
        <f t="shared" si="4"/>
        <v>0</v>
      </c>
      <c r="H222" s="85">
        <f t="shared" si="4"/>
        <v>0</v>
      </c>
      <c r="I222" s="85">
        <f t="shared" si="4"/>
        <v>0</v>
      </c>
    </row>
    <row r="223" spans="1:9" x14ac:dyDescent="0.45">
      <c r="B223" s="17">
        <f t="shared" ref="B223" si="5">SUM(B218:B222)</f>
        <v>214</v>
      </c>
      <c r="C223" s="16">
        <f t="shared" ref="C223:I223" si="6">SUM(C218:C222)</f>
        <v>0</v>
      </c>
      <c r="D223" s="16">
        <f t="shared" si="6"/>
        <v>0</v>
      </c>
      <c r="E223" s="16">
        <f t="shared" si="6"/>
        <v>0</v>
      </c>
      <c r="F223" s="16">
        <f t="shared" si="6"/>
        <v>0</v>
      </c>
      <c r="G223" s="16">
        <f t="shared" si="6"/>
        <v>0</v>
      </c>
      <c r="H223" s="16">
        <f t="shared" si="6"/>
        <v>0</v>
      </c>
      <c r="I223" s="16">
        <f t="shared" si="6"/>
        <v>0</v>
      </c>
    </row>
    <row r="224" spans="1:9" x14ac:dyDescent="0.45">
      <c r="B224" s="17">
        <f>B223-B220-B222</f>
        <v>214</v>
      </c>
      <c r="C224" s="16">
        <f t="shared" ref="C224:I224" si="7">C$218+C$219+C221</f>
        <v>0</v>
      </c>
      <c r="D224" s="16">
        <f t="shared" si="7"/>
        <v>0</v>
      </c>
      <c r="E224" s="16">
        <f t="shared" si="7"/>
        <v>0</v>
      </c>
      <c r="F224" s="16">
        <f t="shared" si="7"/>
        <v>0</v>
      </c>
      <c r="G224" s="16">
        <f t="shared" si="7"/>
        <v>0</v>
      </c>
      <c r="H224" s="16">
        <f t="shared" si="7"/>
        <v>0</v>
      </c>
      <c r="I224" s="16">
        <f t="shared" si="7"/>
        <v>0</v>
      </c>
    </row>
  </sheetData>
  <conditionalFormatting sqref="A2:B214">
    <cfRule type="cellIs" dxfId="4" priority="1" operator="equal">
      <formula>""</formula>
    </cfRule>
  </conditionalFormatting>
  <pageMargins left="0.7" right="0.7" top="0.78740157500000008" bottom="0.78740157500000008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6424F-F927-4DEE-86F6-CA0EBBA8D988}">
  <dimension ref="A1:C15"/>
  <sheetViews>
    <sheetView zoomScale="160" zoomScaleNormal="160" workbookViewId="0">
      <selection activeCell="B7" sqref="B7"/>
    </sheetView>
  </sheetViews>
  <sheetFormatPr baseColWidth="10" defaultRowHeight="14.25" x14ac:dyDescent="0.45"/>
  <cols>
    <col min="2" max="2" width="48.796875" customWidth="1"/>
    <col min="3" max="3" width="23.33203125" customWidth="1"/>
  </cols>
  <sheetData>
    <row r="1" spans="1:3" x14ac:dyDescent="0.45">
      <c r="A1" s="9" t="s">
        <v>150</v>
      </c>
      <c r="B1" s="55" t="s">
        <v>233</v>
      </c>
      <c r="C1" s="55" t="s">
        <v>234</v>
      </c>
    </row>
    <row r="3" spans="1:3" x14ac:dyDescent="0.45">
      <c r="A3">
        <v>2</v>
      </c>
      <c r="B3" t="s">
        <v>151</v>
      </c>
    </row>
    <row r="4" spans="1:3" x14ac:dyDescent="0.45">
      <c r="A4">
        <v>1</v>
      </c>
      <c r="B4" t="s">
        <v>152</v>
      </c>
    </row>
    <row r="5" spans="1:3" x14ac:dyDescent="0.45">
      <c r="A5">
        <v>0</v>
      </c>
      <c r="C5" s="56" t="s">
        <v>237</v>
      </c>
    </row>
    <row r="6" spans="1:3" x14ac:dyDescent="0.45">
      <c r="A6">
        <v>-1</v>
      </c>
      <c r="B6" t="s">
        <v>153</v>
      </c>
      <c r="C6" s="54" t="s">
        <v>232</v>
      </c>
    </row>
    <row r="7" spans="1:3" x14ac:dyDescent="0.45">
      <c r="A7">
        <v>-2</v>
      </c>
      <c r="B7" s="54" t="s">
        <v>235</v>
      </c>
    </row>
    <row r="8" spans="1:3" x14ac:dyDescent="0.45">
      <c r="A8" t="s">
        <v>154</v>
      </c>
    </row>
    <row r="9" spans="1:3" x14ac:dyDescent="0.45">
      <c r="A9" s="54" t="s">
        <v>236</v>
      </c>
    </row>
    <row r="11" spans="1:3" x14ac:dyDescent="0.45">
      <c r="A11" t="s">
        <v>155</v>
      </c>
    </row>
    <row r="12" spans="1:3" x14ac:dyDescent="0.45">
      <c r="B12" t="s">
        <v>156</v>
      </c>
    </row>
    <row r="13" spans="1:3" x14ac:dyDescent="0.45">
      <c r="B13" t="s">
        <v>157</v>
      </c>
    </row>
    <row r="14" spans="1:3" x14ac:dyDescent="0.45">
      <c r="B14" t="s">
        <v>158</v>
      </c>
    </row>
    <row r="15" spans="1:3" x14ac:dyDescent="0.45">
      <c r="A15" s="10" t="s">
        <v>159</v>
      </c>
    </row>
  </sheetData>
  <hyperlinks>
    <hyperlink ref="A15" r:id="rId1" display="Wikipedia (2026)" xr:uid="{D62AB9EB-D87E-47CE-A8F5-08F7E0C2AB4F}"/>
  </hyperlinks>
  <pageMargins left="0.7" right="0.7" top="0.78740157499999996" bottom="0.78740157499999996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3C31-256B-4FBC-971D-951BAA2CE278}">
  <dimension ref="A1:A4"/>
  <sheetViews>
    <sheetView workbookViewId="0">
      <selection activeCell="A4" sqref="A4"/>
    </sheetView>
  </sheetViews>
  <sheetFormatPr baseColWidth="10" defaultRowHeight="14.25" x14ac:dyDescent="0.45"/>
  <cols>
    <col min="1" max="1" width="98.9296875" style="5" customWidth="1"/>
  </cols>
  <sheetData>
    <row r="1" spans="1:1" ht="42.75" x14ac:dyDescent="0.45">
      <c r="A1" s="5" t="s">
        <v>160</v>
      </c>
    </row>
    <row r="2" spans="1:1" ht="28.5" x14ac:dyDescent="0.45">
      <c r="A2" s="5" t="s">
        <v>147</v>
      </c>
    </row>
    <row r="3" spans="1:1" ht="42.75" x14ac:dyDescent="0.45">
      <c r="A3" s="5" t="s">
        <v>238</v>
      </c>
    </row>
    <row r="4" spans="1:1" ht="28.5" x14ac:dyDescent="0.45">
      <c r="A4" s="5" t="s">
        <v>146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Foreword</vt:lpstr>
      <vt:lpstr>Web</vt:lpstr>
      <vt:lpstr>Android</vt:lpstr>
      <vt:lpstr>iOS</vt:lpstr>
      <vt:lpstr>HdM Scale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Gottfried Zimmermann</dc:creator>
  <cp:lastModifiedBy>Gottfried Zimmermann</cp:lastModifiedBy>
  <cp:revision>12</cp:revision>
  <dcterms:created xsi:type="dcterms:W3CDTF">2020-03-02T11:11:42Z</dcterms:created>
  <dcterms:modified xsi:type="dcterms:W3CDTF">2026-10-30T09:36:38Z</dcterms:modified>
</cp:coreProperties>
</file>