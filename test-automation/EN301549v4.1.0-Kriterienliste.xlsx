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I-Cloud\TeamZimmermann\EN301549 Kurzfassung\v4.1.0 2026-06 final draft for vote\"/>
    </mc:Choice>
  </mc:AlternateContent>
  <xr:revisionPtr revIDLastSave="0" documentId="13_ncr:1_{C9EDAC58-7753-4DB9-91CF-8B82327BCAFA}" xr6:coauthVersionLast="47" xr6:coauthVersionMax="47" xr10:uidLastSave="{00000000-0000-0000-0000-000000000000}"/>
  <bookViews>
    <workbookView xWindow="-5115" yWindow="-21600" windowWidth="26010" windowHeight="21705" activeTab="1" xr2:uid="{00000000-000D-0000-FFFF-FFFF00000000}"/>
  </bookViews>
  <sheets>
    <sheet name="Anmerkungen" sheetId="16" r:id="rId1"/>
    <sheet name="Alle Kriterien" sheetId="15" r:id="rId2"/>
  </sheets>
  <definedNames>
    <definedName name="_xlnm._FilterDatabase" localSheetId="1" hidden="1">'Alle Kriterien'!$A$1:$AH$451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5" i="15" l="1"/>
  <c r="R457" i="15"/>
  <c r="R456" i="15"/>
  <c r="R454" i="15"/>
  <c r="R453" i="15"/>
  <c r="R452" i="15"/>
  <c r="M457" i="15"/>
  <c r="M456" i="15"/>
  <c r="M455" i="15"/>
  <c r="M454" i="15"/>
  <c r="M453" i="15"/>
  <c r="M452" i="15"/>
  <c r="Q457" i="15"/>
  <c r="Q456" i="15"/>
  <c r="Q455" i="15"/>
  <c r="Q454" i="15"/>
  <c r="Q453" i="15"/>
  <c r="Q452" i="15"/>
  <c r="P457" i="15"/>
  <c r="P456" i="15"/>
  <c r="P455" i="15"/>
  <c r="P454" i="15"/>
  <c r="P453" i="15"/>
  <c r="P452" i="15"/>
  <c r="O457" i="15"/>
  <c r="O456" i="15"/>
  <c r="O455" i="15"/>
  <c r="O454" i="15"/>
  <c r="O453" i="15"/>
  <c r="O452" i="15"/>
  <c r="N457" i="15"/>
  <c r="N456" i="15"/>
  <c r="N455" i="15"/>
  <c r="N454" i="15"/>
  <c r="N453" i="15"/>
  <c r="N452" i="15"/>
  <c r="E402" i="15"/>
  <c r="E299" i="15"/>
  <c r="E113" i="15"/>
  <c r="T457" i="15"/>
  <c r="U457" i="15"/>
  <c r="V457" i="15"/>
  <c r="W457" i="15"/>
  <c r="X457" i="15"/>
  <c r="Y457" i="15"/>
  <c r="Z457" i="15"/>
  <c r="AA457" i="15"/>
  <c r="AB457" i="15"/>
  <c r="AC457" i="15"/>
  <c r="AD457" i="15"/>
  <c r="AE457" i="15"/>
  <c r="AF457" i="15"/>
  <c r="S457" i="15"/>
  <c r="L457" i="15"/>
  <c r="K457" i="15"/>
  <c r="J457" i="15"/>
  <c r="I457" i="15"/>
  <c r="H457" i="15"/>
  <c r="I453" i="15"/>
  <c r="I452" i="15"/>
  <c r="H456" i="15"/>
  <c r="H455" i="15"/>
  <c r="H454" i="15"/>
  <c r="H453" i="15"/>
  <c r="H452" i="15"/>
  <c r="AF456" i="15"/>
  <c r="AE456" i="15"/>
  <c r="AD456" i="15"/>
  <c r="AC456" i="15"/>
  <c r="AB456" i="15"/>
  <c r="AA456" i="15"/>
  <c r="Z456" i="15"/>
  <c r="Y456" i="15"/>
  <c r="X456" i="15"/>
  <c r="W456" i="15"/>
  <c r="V456" i="15"/>
  <c r="U456" i="15"/>
  <c r="T456" i="15"/>
  <c r="S456" i="15"/>
  <c r="L456" i="15"/>
  <c r="K456" i="15"/>
  <c r="J456" i="15"/>
  <c r="AF455" i="15"/>
  <c r="AE455" i="15"/>
  <c r="AD455" i="15"/>
  <c r="AC455" i="15"/>
  <c r="AB455" i="15"/>
  <c r="AA455" i="15"/>
  <c r="Z455" i="15"/>
  <c r="Y455" i="15"/>
  <c r="X455" i="15"/>
  <c r="W455" i="15"/>
  <c r="V455" i="15"/>
  <c r="U455" i="15"/>
  <c r="T455" i="15"/>
  <c r="S455" i="15"/>
  <c r="AF454" i="15"/>
  <c r="AE454" i="15"/>
  <c r="AD454" i="15"/>
  <c r="AC454" i="15"/>
  <c r="AB454" i="15"/>
  <c r="AA454" i="15"/>
  <c r="Z454" i="15"/>
  <c r="Y454" i="15"/>
  <c r="X454" i="15"/>
  <c r="W454" i="15"/>
  <c r="V454" i="15"/>
  <c r="U454" i="15"/>
  <c r="T454" i="15"/>
  <c r="S454" i="15"/>
  <c r="AF453" i="15"/>
  <c r="AE453" i="15"/>
  <c r="AD453" i="15"/>
  <c r="AC453" i="15"/>
  <c r="AB453" i="15"/>
  <c r="AA453" i="15"/>
  <c r="Z453" i="15"/>
  <c r="Y453" i="15"/>
  <c r="X453" i="15"/>
  <c r="W453" i="15"/>
  <c r="V453" i="15"/>
  <c r="U453" i="15"/>
  <c r="T453" i="15"/>
  <c r="S453" i="15"/>
  <c r="AE452" i="15"/>
  <c r="AF452" i="15"/>
  <c r="U452" i="15"/>
  <c r="V452" i="15"/>
  <c r="W452" i="15"/>
  <c r="X452" i="15"/>
  <c r="Y452" i="15"/>
  <c r="Z452" i="15"/>
  <c r="AA452" i="15"/>
  <c r="AB452" i="15"/>
  <c r="AC452" i="15"/>
  <c r="AD452" i="15"/>
  <c r="T452" i="15"/>
  <c r="S452" i="15"/>
  <c r="L455" i="15"/>
  <c r="K455" i="15"/>
  <c r="J455" i="15"/>
  <c r="L454" i="15"/>
  <c r="K454" i="15"/>
  <c r="J454" i="15"/>
  <c r="L453" i="15"/>
  <c r="K453" i="15"/>
  <c r="J453" i="15"/>
  <c r="L452" i="15"/>
  <c r="K452" i="15"/>
  <c r="J452" i="15"/>
  <c r="E405" i="15"/>
  <c r="E404" i="15"/>
  <c r="AG356" i="15"/>
  <c r="AH356" i="15"/>
  <c r="AG357" i="15"/>
  <c r="AH357" i="15"/>
  <c r="AG358" i="15"/>
  <c r="AH358" i="15"/>
  <c r="AG359" i="15"/>
  <c r="AH359" i="15"/>
  <c r="AG360" i="15"/>
  <c r="AH360" i="15"/>
  <c r="AG361" i="15"/>
  <c r="AH361" i="15"/>
  <c r="AG362" i="15"/>
  <c r="AH362" i="15"/>
  <c r="AG363" i="15"/>
  <c r="AH363" i="15"/>
  <c r="AG364" i="15"/>
  <c r="AH364" i="15"/>
  <c r="AG365" i="15"/>
  <c r="AH365" i="15"/>
  <c r="AG366" i="15"/>
  <c r="AH366" i="15"/>
  <c r="AG367" i="15"/>
  <c r="AH367" i="15"/>
  <c r="AG368" i="15"/>
  <c r="AH368" i="15"/>
  <c r="AG369" i="15"/>
  <c r="AH369" i="15"/>
  <c r="AG370" i="15"/>
  <c r="AH370" i="15"/>
  <c r="AG371" i="15"/>
  <c r="AH371" i="15"/>
  <c r="AG372" i="15"/>
  <c r="AH372" i="15"/>
  <c r="AG373" i="15"/>
  <c r="AH373" i="15"/>
  <c r="AG374" i="15"/>
  <c r="AH374" i="15"/>
  <c r="AG375" i="15"/>
  <c r="AH375" i="15"/>
  <c r="AG376" i="15"/>
  <c r="AH376" i="15"/>
  <c r="AG377" i="15"/>
  <c r="AH377" i="15"/>
  <c r="AG378" i="15"/>
  <c r="AH378" i="15"/>
  <c r="AG379" i="15"/>
  <c r="AH379" i="15"/>
  <c r="AG380" i="15"/>
  <c r="AH380" i="15"/>
  <c r="AG381" i="15"/>
  <c r="AH381" i="15"/>
  <c r="AG382" i="15"/>
  <c r="AH382" i="15"/>
  <c r="AG383" i="15"/>
  <c r="AH383" i="15"/>
  <c r="AG384" i="15"/>
  <c r="AH384" i="15"/>
  <c r="AG385" i="15"/>
  <c r="AH385" i="15"/>
  <c r="AG386" i="15"/>
  <c r="AH386" i="15"/>
  <c r="AG387" i="15"/>
  <c r="AH387" i="15"/>
  <c r="AG388" i="15"/>
  <c r="AH388" i="15"/>
  <c r="AG389" i="15"/>
  <c r="AH389" i="15"/>
  <c r="AG390" i="15"/>
  <c r="AH390" i="15"/>
  <c r="AG391" i="15"/>
  <c r="AH391" i="15"/>
  <c r="AG392" i="15"/>
  <c r="AH392" i="15"/>
  <c r="AG393" i="15"/>
  <c r="AH393" i="15"/>
  <c r="AG394" i="15"/>
  <c r="AH394" i="15"/>
  <c r="AG395" i="15"/>
  <c r="AH395" i="15"/>
  <c r="AG396" i="15"/>
  <c r="AH396" i="15"/>
  <c r="AG397" i="15"/>
  <c r="AH397" i="15"/>
  <c r="AG398" i="15"/>
  <c r="AH398" i="15"/>
  <c r="AG399" i="15"/>
  <c r="AH399" i="15"/>
  <c r="AG400" i="15"/>
  <c r="AH400" i="15"/>
  <c r="AG401" i="15"/>
  <c r="AH401" i="15"/>
  <c r="AG402" i="15"/>
  <c r="AH402" i="15"/>
  <c r="AG403" i="15"/>
  <c r="AH403" i="15"/>
  <c r="AG404" i="15"/>
  <c r="AH404" i="15"/>
  <c r="AG405" i="15"/>
  <c r="AH405" i="15"/>
  <c r="AG406" i="15"/>
  <c r="AH406" i="15"/>
  <c r="AG407" i="15"/>
  <c r="AH407" i="15"/>
  <c r="AG408" i="15"/>
  <c r="AH408" i="15"/>
  <c r="AG409" i="15"/>
  <c r="AH409" i="15"/>
  <c r="AG410" i="15"/>
  <c r="AH410" i="15"/>
  <c r="AG411" i="15"/>
  <c r="AH411" i="15"/>
  <c r="AG412" i="15"/>
  <c r="AH412" i="15"/>
  <c r="AG413" i="15"/>
  <c r="AH413" i="15"/>
  <c r="AG414" i="15"/>
  <c r="AH414" i="15"/>
  <c r="AG415" i="15"/>
  <c r="AH415" i="15"/>
  <c r="AG416" i="15"/>
  <c r="AH416" i="15"/>
  <c r="AG417" i="15"/>
  <c r="AH417" i="15"/>
  <c r="AG418" i="15"/>
  <c r="AH418" i="15"/>
  <c r="AG419" i="15"/>
  <c r="AH419" i="15"/>
  <c r="AG420" i="15"/>
  <c r="AH420" i="15"/>
  <c r="AG421" i="15"/>
  <c r="AH421" i="15"/>
  <c r="AG422" i="15"/>
  <c r="AH422" i="15"/>
  <c r="AG423" i="15"/>
  <c r="AH423" i="15"/>
  <c r="AG424" i="15"/>
  <c r="AH424" i="15"/>
  <c r="AG425" i="15"/>
  <c r="AH425" i="15"/>
  <c r="AG426" i="15"/>
  <c r="AH426" i="15"/>
  <c r="AG427" i="15"/>
  <c r="AH427" i="15"/>
  <c r="AG428" i="15"/>
  <c r="AH428" i="15"/>
  <c r="AG429" i="15"/>
  <c r="AH429" i="15"/>
  <c r="AG430" i="15"/>
  <c r="AH430" i="15"/>
  <c r="AG431" i="15"/>
  <c r="AH431" i="15"/>
  <c r="AG432" i="15"/>
  <c r="AH432" i="15"/>
  <c r="AG433" i="15"/>
  <c r="AH433" i="15"/>
  <c r="AG434" i="15"/>
  <c r="AH434" i="15"/>
  <c r="AG435" i="15"/>
  <c r="AH435" i="15"/>
  <c r="AG436" i="15"/>
  <c r="AH436" i="15"/>
  <c r="AG437" i="15"/>
  <c r="AH437" i="15"/>
  <c r="AG438" i="15"/>
  <c r="AH438" i="15"/>
  <c r="E393" i="15"/>
  <c r="E394" i="15"/>
  <c r="E395" i="15"/>
  <c r="E398" i="15"/>
  <c r="E388" i="15"/>
  <c r="E387" i="15"/>
  <c r="E380" i="15"/>
  <c r="E381" i="15"/>
  <c r="E382" i="15"/>
  <c r="E383" i="15"/>
  <c r="E373" i="15"/>
  <c r="E374" i="15"/>
  <c r="E375" i="15"/>
  <c r="E368" i="15"/>
  <c r="E367" i="15"/>
  <c r="E362" i="15"/>
  <c r="E363" i="15"/>
  <c r="E364" i="15"/>
  <c r="E365" i="15"/>
  <c r="E350" i="15"/>
  <c r="E349" i="15"/>
  <c r="AH354" i="15"/>
  <c r="AG354" i="15"/>
  <c r="AH353" i="15"/>
  <c r="AG353" i="15"/>
  <c r="AH352" i="15"/>
  <c r="AG352" i="15"/>
  <c r="AH351" i="15"/>
  <c r="AG351" i="15"/>
  <c r="AH344" i="15"/>
  <c r="AG344" i="15"/>
  <c r="AH346" i="15"/>
  <c r="AG346" i="15"/>
  <c r="E346" i="15"/>
  <c r="AG334" i="15"/>
  <c r="AH334" i="15"/>
  <c r="AG335" i="15"/>
  <c r="AH335" i="15"/>
  <c r="AG336" i="15"/>
  <c r="AH336" i="15"/>
  <c r="AG337" i="15"/>
  <c r="AH337" i="15"/>
  <c r="AG338" i="15"/>
  <c r="AH338" i="15"/>
  <c r="AG339" i="15"/>
  <c r="AH339" i="15"/>
  <c r="AG340" i="15"/>
  <c r="AH340" i="15"/>
  <c r="AG341" i="15"/>
  <c r="AH341" i="15"/>
  <c r="AG342" i="15"/>
  <c r="AH342" i="15"/>
  <c r="AG343" i="15"/>
  <c r="AH343" i="15"/>
  <c r="E335" i="15"/>
  <c r="E336" i="15"/>
  <c r="E337" i="15"/>
  <c r="E338" i="15"/>
  <c r="AG315" i="15"/>
  <c r="AH315" i="15"/>
  <c r="AG316" i="15"/>
  <c r="AH316" i="15"/>
  <c r="AG317" i="15"/>
  <c r="AH317" i="15"/>
  <c r="AG318" i="15"/>
  <c r="AH318" i="15"/>
  <c r="AG319" i="15"/>
  <c r="AH319" i="15"/>
  <c r="AG320" i="15"/>
  <c r="AH320" i="15"/>
  <c r="AG321" i="15"/>
  <c r="AH321" i="15"/>
  <c r="AG322" i="15"/>
  <c r="AH322" i="15"/>
  <c r="AG323" i="15"/>
  <c r="AH323" i="15"/>
  <c r="AG324" i="15"/>
  <c r="AH324" i="15"/>
  <c r="AG325" i="15"/>
  <c r="AH325" i="15"/>
  <c r="AG326" i="15"/>
  <c r="AH326" i="15"/>
  <c r="AG327" i="15"/>
  <c r="AH327" i="15"/>
  <c r="AG328" i="15"/>
  <c r="AH328" i="15"/>
  <c r="AG329" i="15"/>
  <c r="AH329" i="15"/>
  <c r="AG330" i="15"/>
  <c r="AH330" i="15"/>
  <c r="AG331" i="15"/>
  <c r="AH331" i="15"/>
  <c r="AG332" i="15"/>
  <c r="AH332" i="15"/>
  <c r="AG333" i="15"/>
  <c r="AH333" i="15"/>
  <c r="E327" i="15"/>
  <c r="E328" i="15"/>
  <c r="E329" i="15"/>
  <c r="E330" i="15"/>
  <c r="E318" i="15"/>
  <c r="E317" i="15"/>
  <c r="E316" i="15"/>
  <c r="E315" i="15"/>
  <c r="E314" i="15"/>
  <c r="E434" i="15"/>
  <c r="E433" i="15"/>
  <c r="E432" i="15"/>
  <c r="E431" i="15"/>
  <c r="E430" i="15"/>
  <c r="E29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3" i="15"/>
  <c r="E104" i="15"/>
  <c r="E105" i="15"/>
  <c r="E106" i="15"/>
  <c r="E108" i="15"/>
  <c r="E109" i="15"/>
  <c r="E110" i="15"/>
  <c r="E111" i="15"/>
  <c r="E112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9" i="15"/>
  <c r="E320" i="15"/>
  <c r="E321" i="15"/>
  <c r="E322" i="15"/>
  <c r="E323" i="15"/>
  <c r="E324" i="15"/>
  <c r="E325" i="15"/>
  <c r="E326" i="15"/>
  <c r="E331" i="15"/>
  <c r="E332" i="15"/>
  <c r="E333" i="15"/>
  <c r="E334" i="15"/>
  <c r="E339" i="15"/>
  <c r="E340" i="15"/>
  <c r="E341" i="15"/>
  <c r="E342" i="15"/>
  <c r="E343" i="15"/>
  <c r="E344" i="15"/>
  <c r="E345" i="15"/>
  <c r="E347" i="15"/>
  <c r="E348" i="15"/>
  <c r="E355" i="15"/>
  <c r="E358" i="15"/>
  <c r="E359" i="15"/>
  <c r="E360" i="15"/>
  <c r="E361" i="15"/>
  <c r="E366" i="15"/>
  <c r="E369" i="15"/>
  <c r="E370" i="15"/>
  <c r="E371" i="15"/>
  <c r="E372" i="15"/>
  <c r="E376" i="15"/>
  <c r="E377" i="15"/>
  <c r="E378" i="15"/>
  <c r="E379" i="15"/>
  <c r="E384" i="15"/>
  <c r="E385" i="15"/>
  <c r="E386" i="15"/>
  <c r="E389" i="15"/>
  <c r="E390" i="15"/>
  <c r="E391" i="15"/>
  <c r="E392" i="15"/>
  <c r="E396" i="15"/>
  <c r="E397" i="15"/>
  <c r="E399" i="15"/>
  <c r="E400" i="15"/>
  <c r="E401" i="15"/>
  <c r="E403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2" i="15"/>
  <c r="AH299" i="15"/>
  <c r="AG299" i="15"/>
  <c r="AH3" i="15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38" i="15"/>
  <c r="AH39" i="15"/>
  <c r="AH40" i="15"/>
  <c r="AH41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125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144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175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189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201" i="15"/>
  <c r="AH202" i="15"/>
  <c r="AH203" i="15"/>
  <c r="AH204" i="15"/>
  <c r="AH205" i="15"/>
  <c r="AH206" i="15"/>
  <c r="AH207" i="15"/>
  <c r="AH208" i="15"/>
  <c r="AH209" i="15"/>
  <c r="AH210" i="15"/>
  <c r="AH211" i="15"/>
  <c r="AH212" i="15"/>
  <c r="AH213" i="15"/>
  <c r="AH214" i="15"/>
  <c r="AH215" i="15"/>
  <c r="AH216" i="15"/>
  <c r="AH217" i="15"/>
  <c r="AH218" i="15"/>
  <c r="AH219" i="15"/>
  <c r="AH220" i="15"/>
  <c r="AH221" i="15"/>
  <c r="AH222" i="15"/>
  <c r="AH223" i="15"/>
  <c r="AH224" i="15"/>
  <c r="AH225" i="15"/>
  <c r="AH226" i="15"/>
  <c r="AH227" i="15"/>
  <c r="AH228" i="15"/>
  <c r="AH229" i="15"/>
  <c r="AH230" i="15"/>
  <c r="AH231" i="15"/>
  <c r="AH232" i="15"/>
  <c r="AH233" i="15"/>
  <c r="AH234" i="15"/>
  <c r="AH235" i="15"/>
  <c r="AH236" i="15"/>
  <c r="AH237" i="15"/>
  <c r="AH238" i="15"/>
  <c r="AH239" i="15"/>
  <c r="AH240" i="15"/>
  <c r="AH241" i="15"/>
  <c r="AH242" i="15"/>
  <c r="AH243" i="15"/>
  <c r="AH244" i="15"/>
  <c r="AH245" i="15"/>
  <c r="AH246" i="15"/>
  <c r="AH247" i="15"/>
  <c r="AH248" i="15"/>
  <c r="AH249" i="15"/>
  <c r="AH250" i="15"/>
  <c r="AH251" i="15"/>
  <c r="AH252" i="15"/>
  <c r="AH253" i="15"/>
  <c r="AH254" i="15"/>
  <c r="AH255" i="15"/>
  <c r="AH256" i="15"/>
  <c r="AH257" i="15"/>
  <c r="AH258" i="15"/>
  <c r="AH259" i="15"/>
  <c r="AH260" i="15"/>
  <c r="AH261" i="15"/>
  <c r="AH262" i="15"/>
  <c r="AH263" i="15"/>
  <c r="AH264" i="15"/>
  <c r="AH265" i="15"/>
  <c r="AH266" i="15"/>
  <c r="AH267" i="15"/>
  <c r="AH268" i="15"/>
  <c r="AH269" i="15"/>
  <c r="AH270" i="15"/>
  <c r="AH271" i="15"/>
  <c r="AH272" i="15"/>
  <c r="AH273" i="15"/>
  <c r="AH274" i="15"/>
  <c r="AH275" i="15"/>
  <c r="AH276" i="15"/>
  <c r="AH277" i="15"/>
  <c r="AH278" i="15"/>
  <c r="AH279" i="15"/>
  <c r="AH280" i="15"/>
  <c r="AH281" i="15"/>
  <c r="AH282" i="15"/>
  <c r="AH283" i="15"/>
  <c r="AH284" i="15"/>
  <c r="AH285" i="15"/>
  <c r="AH286" i="15"/>
  <c r="AH287" i="15"/>
  <c r="AH288" i="15"/>
  <c r="AH289" i="15"/>
  <c r="AH290" i="15"/>
  <c r="AH291" i="15"/>
  <c r="AH292" i="15"/>
  <c r="AH293" i="15"/>
  <c r="AH294" i="15"/>
  <c r="AH295" i="15"/>
  <c r="AH296" i="15"/>
  <c r="AH297" i="15"/>
  <c r="AH298" i="15"/>
  <c r="AH300" i="15"/>
  <c r="AH301" i="15"/>
  <c r="AH302" i="15"/>
  <c r="AH303" i="15"/>
  <c r="AH304" i="15"/>
  <c r="AH305" i="15"/>
  <c r="AH306" i="15"/>
  <c r="AH307" i="15"/>
  <c r="AH308" i="15"/>
  <c r="AH309" i="15"/>
  <c r="AH310" i="15"/>
  <c r="AH311" i="15"/>
  <c r="AH312" i="15"/>
  <c r="AH313" i="15"/>
  <c r="AH314" i="15"/>
  <c r="AH345" i="15"/>
  <c r="AH347" i="15"/>
  <c r="AH348" i="15"/>
  <c r="AH349" i="15"/>
  <c r="AH350" i="15"/>
  <c r="AH355" i="15"/>
  <c r="AH439" i="15"/>
  <c r="AH440" i="15"/>
  <c r="AH441" i="15"/>
  <c r="AH442" i="15"/>
  <c r="AH443" i="15"/>
  <c r="AH444" i="15"/>
  <c r="AH445" i="15"/>
  <c r="AH446" i="15"/>
  <c r="AH447" i="15"/>
  <c r="AH448" i="15"/>
  <c r="AH449" i="15"/>
  <c r="AH450" i="15"/>
  <c r="AH451" i="15"/>
  <c r="AH2" i="15"/>
  <c r="AG3" i="15"/>
  <c r="AG4" i="15"/>
  <c r="AG5" i="15"/>
  <c r="AG6" i="15"/>
  <c r="AG7" i="15"/>
  <c r="AG8" i="15"/>
  <c r="AG9" i="15"/>
  <c r="AG10" i="15"/>
  <c r="AG11" i="15"/>
  <c r="AG12" i="15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G26" i="15"/>
  <c r="AG27" i="15"/>
  <c r="AG28" i="15"/>
  <c r="AG29" i="15"/>
  <c r="AG30" i="15"/>
  <c r="AG31" i="15"/>
  <c r="AG32" i="15"/>
  <c r="AG33" i="15"/>
  <c r="AG34" i="15"/>
  <c r="AG35" i="15"/>
  <c r="AG36" i="15"/>
  <c r="AG37" i="15"/>
  <c r="AG38" i="15"/>
  <c r="AG39" i="15"/>
  <c r="AG40" i="15"/>
  <c r="AG41" i="15"/>
  <c r="AG42" i="15"/>
  <c r="AG43" i="15"/>
  <c r="AG44" i="15"/>
  <c r="AG45" i="15"/>
  <c r="AG46" i="15"/>
  <c r="AG47" i="15"/>
  <c r="AG48" i="15"/>
  <c r="AG49" i="15"/>
  <c r="AG50" i="15"/>
  <c r="AG51" i="15"/>
  <c r="AG52" i="15"/>
  <c r="AG53" i="15"/>
  <c r="AG54" i="15"/>
  <c r="AG55" i="15"/>
  <c r="AG56" i="15"/>
  <c r="AG57" i="15"/>
  <c r="AG58" i="15"/>
  <c r="AG59" i="15"/>
  <c r="AG60" i="15"/>
  <c r="AG61" i="15"/>
  <c r="AG62" i="15"/>
  <c r="AG63" i="15"/>
  <c r="AG64" i="15"/>
  <c r="AG65" i="15"/>
  <c r="AG66" i="15"/>
  <c r="AG67" i="15"/>
  <c r="AG68" i="15"/>
  <c r="AG69" i="15"/>
  <c r="AG70" i="15"/>
  <c r="AG71" i="15"/>
  <c r="AG72" i="15"/>
  <c r="AG73" i="15"/>
  <c r="AG74" i="15"/>
  <c r="AG75" i="15"/>
  <c r="AG76" i="15"/>
  <c r="AG77" i="15"/>
  <c r="AG78" i="15"/>
  <c r="AG79" i="15"/>
  <c r="AG80" i="15"/>
  <c r="AG81" i="15"/>
  <c r="AG82" i="15"/>
  <c r="AG83" i="15"/>
  <c r="AG84" i="15"/>
  <c r="AG85" i="15"/>
  <c r="AG86" i="15"/>
  <c r="AG87" i="15"/>
  <c r="AG88" i="15"/>
  <c r="AG89" i="15"/>
  <c r="AG90" i="15"/>
  <c r="AG91" i="15"/>
  <c r="AG92" i="15"/>
  <c r="AG93" i="15"/>
  <c r="AG94" i="15"/>
  <c r="AG95" i="15"/>
  <c r="AG96" i="15"/>
  <c r="AG97" i="15"/>
  <c r="AG98" i="15"/>
  <c r="AG99" i="15"/>
  <c r="AG100" i="15"/>
  <c r="AG101" i="15"/>
  <c r="AG102" i="15"/>
  <c r="AG103" i="15"/>
  <c r="AG104" i="15"/>
  <c r="AG105" i="15"/>
  <c r="AG106" i="15"/>
  <c r="AG107" i="15"/>
  <c r="AG108" i="15"/>
  <c r="AG109" i="15"/>
  <c r="AG110" i="15"/>
  <c r="AG111" i="15"/>
  <c r="AG112" i="15"/>
  <c r="AG113" i="15"/>
  <c r="AG114" i="15"/>
  <c r="AG115" i="15"/>
  <c r="AG116" i="15"/>
  <c r="AG117" i="15"/>
  <c r="AG118" i="15"/>
  <c r="AG119" i="15"/>
  <c r="AG120" i="15"/>
  <c r="AG121" i="15"/>
  <c r="AG122" i="15"/>
  <c r="AG123" i="15"/>
  <c r="AG124" i="15"/>
  <c r="AG125" i="15"/>
  <c r="AG126" i="15"/>
  <c r="AG127" i="15"/>
  <c r="AG128" i="15"/>
  <c r="AG129" i="15"/>
  <c r="AG130" i="15"/>
  <c r="AG131" i="15"/>
  <c r="AG132" i="15"/>
  <c r="AG133" i="15"/>
  <c r="AG134" i="15"/>
  <c r="AG135" i="15"/>
  <c r="AG136" i="15"/>
  <c r="AG137" i="15"/>
  <c r="AG138" i="15"/>
  <c r="AG139" i="15"/>
  <c r="AG140" i="15"/>
  <c r="AG141" i="15"/>
  <c r="AG142" i="15"/>
  <c r="AG143" i="15"/>
  <c r="AG144" i="15"/>
  <c r="AG145" i="15"/>
  <c r="AG146" i="15"/>
  <c r="AG147" i="15"/>
  <c r="AG148" i="15"/>
  <c r="AG149" i="15"/>
  <c r="AG150" i="15"/>
  <c r="AG151" i="15"/>
  <c r="AG152" i="15"/>
  <c r="AG153" i="15"/>
  <c r="AG154" i="15"/>
  <c r="AG155" i="15"/>
  <c r="AG156" i="15"/>
  <c r="AG157" i="15"/>
  <c r="AG158" i="15"/>
  <c r="AG159" i="15"/>
  <c r="AG160" i="15"/>
  <c r="AG161" i="15"/>
  <c r="AG162" i="15"/>
  <c r="AG163" i="15"/>
  <c r="AG164" i="15"/>
  <c r="AG165" i="15"/>
  <c r="AG166" i="15"/>
  <c r="AG167" i="15"/>
  <c r="AG168" i="15"/>
  <c r="AG169" i="15"/>
  <c r="AG170" i="15"/>
  <c r="AG171" i="15"/>
  <c r="AG172" i="15"/>
  <c r="AG173" i="15"/>
  <c r="AG174" i="15"/>
  <c r="AG175" i="15"/>
  <c r="AG176" i="15"/>
  <c r="AG177" i="15"/>
  <c r="AG178" i="15"/>
  <c r="AG179" i="15"/>
  <c r="AG180" i="15"/>
  <c r="AG181" i="15"/>
  <c r="AG182" i="15"/>
  <c r="AG183" i="15"/>
  <c r="AG184" i="15"/>
  <c r="AG185" i="15"/>
  <c r="AG186" i="15"/>
  <c r="AG187" i="15"/>
  <c r="AG188" i="15"/>
  <c r="AG189" i="15"/>
  <c r="AG190" i="15"/>
  <c r="AG191" i="15"/>
  <c r="AG192" i="15"/>
  <c r="AG193" i="15"/>
  <c r="AG194" i="15"/>
  <c r="AG195" i="15"/>
  <c r="AG196" i="15"/>
  <c r="AG197" i="15"/>
  <c r="AG198" i="15"/>
  <c r="AG199" i="15"/>
  <c r="AG200" i="15"/>
  <c r="AG201" i="15"/>
  <c r="AG202" i="15"/>
  <c r="AG203" i="15"/>
  <c r="AG204" i="15"/>
  <c r="AG205" i="15"/>
  <c r="AG206" i="15"/>
  <c r="AG207" i="15"/>
  <c r="AG208" i="15"/>
  <c r="AG209" i="15"/>
  <c r="AG210" i="15"/>
  <c r="AG211" i="15"/>
  <c r="AG212" i="15"/>
  <c r="AG213" i="15"/>
  <c r="AG214" i="15"/>
  <c r="AG215" i="15"/>
  <c r="AG216" i="15"/>
  <c r="AG217" i="15"/>
  <c r="AG218" i="15"/>
  <c r="AG219" i="15"/>
  <c r="AG220" i="15"/>
  <c r="AG221" i="15"/>
  <c r="AG222" i="15"/>
  <c r="AG223" i="15"/>
  <c r="AG224" i="15"/>
  <c r="AG225" i="15"/>
  <c r="AG226" i="15"/>
  <c r="AG227" i="15"/>
  <c r="AG228" i="15"/>
  <c r="AG229" i="15"/>
  <c r="AG230" i="15"/>
  <c r="AG231" i="15"/>
  <c r="AG232" i="15"/>
  <c r="AG233" i="15"/>
  <c r="AG234" i="15"/>
  <c r="AG235" i="15"/>
  <c r="AG236" i="15"/>
  <c r="AG237" i="15"/>
  <c r="AG238" i="15"/>
  <c r="AG239" i="15"/>
  <c r="AG240" i="15"/>
  <c r="AG241" i="15"/>
  <c r="AG242" i="15"/>
  <c r="AG243" i="15"/>
  <c r="AG244" i="15"/>
  <c r="AG245" i="15"/>
  <c r="AG246" i="15"/>
  <c r="AG247" i="15"/>
  <c r="AG248" i="15"/>
  <c r="AG249" i="15"/>
  <c r="AG250" i="15"/>
  <c r="AG251" i="15"/>
  <c r="AG252" i="15"/>
  <c r="AG253" i="15"/>
  <c r="AG254" i="15"/>
  <c r="AG255" i="15"/>
  <c r="AG256" i="15"/>
  <c r="AG257" i="15"/>
  <c r="AG258" i="15"/>
  <c r="AG259" i="15"/>
  <c r="AG260" i="15"/>
  <c r="AG261" i="15"/>
  <c r="AG262" i="15"/>
  <c r="AG263" i="15"/>
  <c r="AG264" i="15"/>
  <c r="AG265" i="15"/>
  <c r="AG266" i="15"/>
  <c r="AG267" i="15"/>
  <c r="AG268" i="15"/>
  <c r="AG269" i="15"/>
  <c r="AG270" i="15"/>
  <c r="AG271" i="15"/>
  <c r="AG272" i="15"/>
  <c r="AG273" i="15"/>
  <c r="AG274" i="15"/>
  <c r="AG275" i="15"/>
  <c r="AG276" i="15"/>
  <c r="AG277" i="15"/>
  <c r="AG278" i="15"/>
  <c r="AG279" i="15"/>
  <c r="AG280" i="15"/>
  <c r="AG281" i="15"/>
  <c r="AG282" i="15"/>
  <c r="AG283" i="15"/>
  <c r="AG284" i="15"/>
  <c r="AG285" i="15"/>
  <c r="AG286" i="15"/>
  <c r="AG287" i="15"/>
  <c r="AG288" i="15"/>
  <c r="AG289" i="15"/>
  <c r="AG290" i="15"/>
  <c r="AG291" i="15"/>
  <c r="AG292" i="15"/>
  <c r="AG293" i="15"/>
  <c r="AG294" i="15"/>
  <c r="AG295" i="15"/>
  <c r="AG296" i="15"/>
  <c r="AG297" i="15"/>
  <c r="AG298" i="15"/>
  <c r="AG300" i="15"/>
  <c r="AG301" i="15"/>
  <c r="AG302" i="15"/>
  <c r="AG303" i="15"/>
  <c r="AG304" i="15"/>
  <c r="AG305" i="15"/>
  <c r="AG306" i="15"/>
  <c r="AG307" i="15"/>
  <c r="AG308" i="15"/>
  <c r="AG309" i="15"/>
  <c r="AG310" i="15"/>
  <c r="AG311" i="15"/>
  <c r="AG312" i="15"/>
  <c r="AG313" i="15"/>
  <c r="AG314" i="15"/>
  <c r="AG345" i="15"/>
  <c r="AG347" i="15"/>
  <c r="AG348" i="15"/>
  <c r="AG349" i="15"/>
  <c r="AG350" i="15"/>
  <c r="AG355" i="15"/>
  <c r="AG439" i="15"/>
  <c r="AG440" i="15"/>
  <c r="AG441" i="15"/>
  <c r="AG442" i="15"/>
  <c r="AG443" i="15"/>
  <c r="AG444" i="15"/>
  <c r="AG445" i="15"/>
  <c r="AG446" i="15"/>
  <c r="AG447" i="15"/>
  <c r="AG448" i="15"/>
  <c r="AG449" i="15"/>
  <c r="AG450" i="15"/>
  <c r="AG451" i="15"/>
  <c r="AG2" i="15"/>
  <c r="M458" i="15" l="1"/>
  <c r="M459" i="15" s="1"/>
  <c r="P458" i="15"/>
  <c r="P459" i="15" s="1"/>
  <c r="R458" i="15"/>
  <c r="R459" i="15" s="1"/>
  <c r="Q458" i="15"/>
  <c r="Q459" i="15" s="1"/>
  <c r="O458" i="15"/>
  <c r="O459" i="15" s="1"/>
  <c r="N458" i="15"/>
  <c r="N459" i="15" s="1"/>
  <c r="AG456" i="15"/>
  <c r="L458" i="15"/>
  <c r="L459" i="15" s="1"/>
  <c r="K458" i="15"/>
  <c r="K459" i="15" s="1"/>
  <c r="J458" i="15"/>
  <c r="J459" i="15" s="1"/>
  <c r="AE459" i="15"/>
  <c r="AE458" i="15"/>
  <c r="AB459" i="15" l="1"/>
  <c r="AA459" i="15"/>
  <c r="Z459" i="15"/>
  <c r="H458" i="15"/>
  <c r="H459" i="15" s="1"/>
  <c r="Y459" i="15"/>
  <c r="AD458" i="15"/>
  <c r="T459" i="15"/>
  <c r="AC459" i="15"/>
  <c r="AD459" i="15"/>
  <c r="U458" i="15"/>
  <c r="AA458" i="15"/>
  <c r="W459" i="15"/>
  <c r="AG455" i="15"/>
  <c r="AG457" i="15"/>
  <c r="X459" i="15"/>
  <c r="U459" i="15"/>
  <c r="AB458" i="15"/>
  <c r="AF459" i="15"/>
  <c r="V459" i="15"/>
  <c r="Y458" i="15"/>
  <c r="V458" i="15"/>
  <c r="S458" i="15"/>
  <c r="AF458" i="15"/>
  <c r="AC458" i="15"/>
  <c r="S459" i="15"/>
  <c r="Z458" i="15"/>
  <c r="T458" i="15"/>
  <c r="AG453" i="15"/>
  <c r="X458" i="15"/>
  <c r="W458" i="15"/>
  <c r="AG452" i="15"/>
  <c r="AG454" i="15"/>
  <c r="AG459" i="15" l="1"/>
  <c r="AG45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Gottfried Zimmermann</author>
    <author>tc={DB990AB7-9399-42D5-A9B8-F2280599FC7F}</author>
    <author>tc={F78DF2BB-24A7-42ED-A54C-5D9913C3148D}</author>
  </authors>
  <commentList>
    <comment ref="A1" authorId="0" shapeId="0" xr:uid="{9FE5666F-6329-42BA-881F-1E6BCB31A900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https://www.etsi.org/deliver/etsi_en/301500_301599/301549/03.02.01_60/en_301549v030201p.pdf</t>
        </r>
      </text>
    </comment>
    <comment ref="B1" authorId="0" shapeId="0" xr:uid="{B37998E7-1019-40A4-A954-F64E4F6E6471}">
      <text>
        <r>
          <rPr>
            <b/>
            <sz val="9"/>
            <color indexed="81"/>
            <rFont val="Segoe UI"/>
            <family val="2"/>
          </rPr>
          <t>Vgl. NA023-00-02GA_N3667_Kommentierung_des_deutschen_Entwurfs_DIN_EN_301549.pdf</t>
        </r>
      </text>
    </comment>
    <comment ref="C1" authorId="0" shapeId="0" xr:uid="{43E3ADA8-9A5A-4091-BAC6-99796ABC924C}">
      <text>
        <r>
          <rPr>
            <b/>
            <sz val="9"/>
            <color indexed="81"/>
            <rFont val="Segoe UI"/>
            <charset val="1"/>
          </rPr>
          <t>https://www.etsi.org/deliver/etsi_en/301500_301599/301549/04.01.00_30/en_301549v040100va.pdf</t>
        </r>
      </text>
    </comment>
    <comment ref="F1" authorId="0" shapeId="0" xr:uid="{0870A73F-D688-4ADF-A9C1-7C0FE5479912}">
      <text>
        <r>
          <rPr>
            <b/>
            <sz val="9"/>
            <color indexed="81"/>
            <rFont val="Segoe UI"/>
            <family val="2"/>
          </rPr>
          <t>Vgl. NA023-00-02GA_N3667_Kommentierung_des_deutschen_Entwurfs_DIN_EN_301549.pdf</t>
        </r>
      </text>
    </comment>
    <comment ref="J1" authorId="0" shapeId="0" xr:uid="{ED6548A6-49A1-4691-B0E3-76AA06A729CB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Auch relevante should- und AAA-Kriterien aufgenommen, die nicht in Tab. ZA.1 stehen.</t>
        </r>
      </text>
    </comment>
    <comment ref="K1" authorId="0" shapeId="0" xr:uid="{CEEEEC4F-0C6F-437A-8C38-C3B251854E27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Auch relevante should- und AAA-Kriterien aufgenommen, die nicht in Tab. ZA.2 stehen.</t>
        </r>
      </text>
    </comment>
    <comment ref="U1" authorId="0" shapeId="0" xr:uid="{97ECB312-1F2B-4CC2-8135-E781EB1BD7D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War: Tastaturbedienung unterstützen</t>
        </r>
      </text>
    </comment>
    <comment ref="V1" authorId="0" shapeId="0" xr:uid="{6E85A24F-7EE2-43B4-9FE9-982F2597A46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War: "Textalternativen anbieten"</t>
        </r>
      </text>
    </comment>
    <comment ref="AD1" authorId="0" shapeId="0" xr:uid="{77D9365B-88E2-4200-BFF7-EBB39FA335B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War: "Barrierefreiheitsfunktionen der Plattform unterstützen"</t>
        </r>
      </text>
    </comment>
    <comment ref="J51" authorId="0" shapeId="0" xr:uid="{2B9C81D3-C156-41CE-A525-B8CFE40A58C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K51" authorId="0" shapeId="0" xr:uid="{829A4832-B73B-4A82-85CF-A7F1850F704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ZA.2</t>
        </r>
      </text>
    </comment>
    <comment ref="J52" authorId="0" shapeId="0" xr:uid="{49EDEA92-8503-49EC-9C33-DCE930C20A7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K52" authorId="0" shapeId="0" xr:uid="{2FA09DF3-B6A7-4CFE-B6DE-E4078C97C04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ZA.2</t>
        </r>
      </text>
    </comment>
    <comment ref="C65" authorId="0" shapeId="0" xr:uid="{58BD5287-BB6A-4B4D-9107-AF8857D49D5F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min. 3 x 30 characters per second</t>
        </r>
      </text>
    </comment>
    <comment ref="B75" authorId="1" shapeId="0" xr:uid="{DB990AB7-9399-42D5-A9B8-F2280599FC7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  <comment ref="B76" authorId="2" shapeId="0" xr:uid="{F78DF2BB-24A7-42ED-A54C-5D9913C3148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  <comment ref="J77" authorId="0" shapeId="0" xr:uid="{01C7DB4B-B95A-471C-A181-A6CBB1303BD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K77" authorId="0" shapeId="0" xr:uid="{C6B71385-A040-4565-A03F-AC84A82FAE3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ZA.2</t>
        </r>
      </text>
    </comment>
    <comment ref="L123" authorId="0" shapeId="0" xr:uid="{02309AC2-0EB4-4E99-91F0-C306EC9A513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in Tab. ZB.5 für Services enthalten</t>
        </r>
      </text>
    </comment>
    <comment ref="J132" authorId="0" shapeId="0" xr:uid="{E30A5A2B-E13B-4BE8-922A-DEC8FEAAA57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34" authorId="0" shapeId="0" xr:uid="{1C5AACFC-E75B-4CAF-B3A8-5D9D4C4B23A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35" authorId="0" shapeId="0" xr:uid="{0150927E-9F30-40F7-93A1-D325DACA595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36" authorId="0" shapeId="0" xr:uid="{589AEABE-CD1C-43CA-94B7-52C711B0906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37" authorId="0" shapeId="0" xr:uid="{3C54BAC1-C5BD-44BB-9C30-559C102F83F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43" authorId="0" shapeId="0" xr:uid="{1BB6A8E4-3DB0-4BB4-881A-2057DBD7243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49" authorId="0" shapeId="0" xr:uid="{EED602C2-9E2E-4E60-A836-BFBEDF7A61B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50" authorId="0" shapeId="0" xr:uid="{CB52E3D4-A46C-4793-B0E6-374966519F0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51" authorId="0" shapeId="0" xr:uid="{B7B83D93-48AB-4BAF-9F82-5BC3D93BD72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52" authorId="0" shapeId="0" xr:uid="{2CAC5D72-5B10-4557-9D6A-F0A440DA9D1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59" authorId="0" shapeId="0" xr:uid="{DF983BE1-5303-4772-9B55-237E56BA279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63" authorId="0" shapeId="0" xr:uid="{2973AE48-B4B0-4671-B0A2-5C9BB66D9EB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64" authorId="0" shapeId="0" xr:uid="{6B91A73A-00AC-4188-8CFD-43BA2C833E3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65" authorId="0" shapeId="0" xr:uid="{F0CF47EA-F123-4EB7-9980-F13C935E2AA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66" authorId="0" shapeId="0" xr:uid="{38193DBF-0AED-4C89-85C0-9F0791C1801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68" authorId="0" shapeId="0" xr:uid="{3965A7B9-BA0F-4A66-B934-6D4829B2B95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69" authorId="0" shapeId="0" xr:uid="{058FCA73-D0A7-45F1-B9BF-3E754AA1142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77" authorId="0" shapeId="0" xr:uid="{5C33D5C7-9162-4FF4-A4C6-98769FEC2E6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78" authorId="0" shapeId="0" xr:uid="{074E913C-C24E-4330-BDF4-ACE0397CC9C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79" authorId="0" shapeId="0" xr:uid="{7C6A79DA-B447-4894-9290-89AA6A87007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81" authorId="0" shapeId="0" xr:uid="{8415D3DF-332A-4C9B-AB64-907EF403603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82" authorId="0" shapeId="0" xr:uid="{17EBCBC5-CE32-42EF-8080-B129015CE11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87" authorId="0" shapeId="0" xr:uid="{3554A8F6-4C68-4793-A20C-9231C53D7DC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88" authorId="0" shapeId="0" xr:uid="{B37E5AC3-377E-4252-AB4C-1083F1EAAAC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93" authorId="0" shapeId="0" xr:uid="{C0BFE79E-C4B9-4893-B568-A23C544362B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94" authorId="0" shapeId="0" xr:uid="{437E521C-0B3A-414B-90AE-F960E45F06E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95" authorId="0" shapeId="0" xr:uid="{1DFF7C22-0C09-4EA5-811E-5CDF025313C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196" authorId="0" shapeId="0" xr:uid="{E1296C03-02FB-4514-BE8E-82095ED0944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01" authorId="0" shapeId="0" xr:uid="{F08643E9-E300-428F-AC83-F02AEB24225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07" authorId="0" shapeId="0" xr:uid="{4753FF0D-550D-43AA-ABED-3103B2772B1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08" authorId="0" shapeId="0" xr:uid="{EEC585BB-DCC0-42EF-A055-451C84C2D50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11" authorId="0" shapeId="0" xr:uid="{C4C713CC-839B-4C2B-A238-3FF441F0C88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AH215" authorId="0" shapeId="0" xr:uid="{7D9B8832-54AF-4371-9311-CF96CC01D08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Keiner Regel zuordenbar - Vorgaben für die Anwendung der Kriterien</t>
        </r>
      </text>
    </comment>
    <comment ref="J221" authorId="0" shapeId="0" xr:uid="{47A33279-EFF3-44CC-B6C8-B08954184B2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23" authorId="0" shapeId="0" xr:uid="{AE4CBBB2-E4A1-4790-9FA5-65CF796B079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24" authorId="0" shapeId="0" xr:uid="{2E38400B-0150-4C4B-9488-97BF819F5BDF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25" authorId="0" shapeId="0" xr:uid="{BD71327E-705C-457E-9E45-0A619AE489E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26" authorId="0" shapeId="0" xr:uid="{728ED371-F0F5-402C-8249-BEDF4A149CD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32" authorId="0" shapeId="0" xr:uid="{0FC3DDF4-C0F5-4B0E-A0CE-F74D393117E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38" authorId="0" shapeId="0" xr:uid="{630343C9-0132-4825-A152-7AC49F8B363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39" authorId="0" shapeId="0" xr:uid="{81383B57-D8F7-40D6-9D15-465EDEB90F1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40" authorId="0" shapeId="0" xr:uid="{D9B77181-9BEB-45B8-AD84-CC3FE3EFA3D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41" authorId="0" shapeId="0" xr:uid="{C6CCBB95-2C12-4284-B844-9F8F065E457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48" authorId="0" shapeId="0" xr:uid="{DEBAF421-D178-4706-BE55-3BB96AAD3A4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52" authorId="0" shapeId="0" xr:uid="{2B9F8BFC-CE39-4175-B655-6D20F8F58D6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53" authorId="0" shapeId="0" xr:uid="{F223DB08-4DE0-4D08-9031-77FAB4F42A5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54" authorId="0" shapeId="0" xr:uid="{6DBA6552-CD90-4073-9AE6-29CE1BC7239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55" authorId="0" shapeId="0" xr:uid="{652EB8E6-E0C1-45EE-87AE-433A7A5A689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57" authorId="0" shapeId="0" xr:uid="{35A9B272-93C6-4E80-8D89-F5A31BEC851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58" authorId="0" shapeId="0" xr:uid="{F7025D81-0CBF-4E57-9705-B3DB2990479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64" authorId="0" shapeId="0" xr:uid="{2AF0D3A5-B053-46DD-A157-985F38A3357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65" authorId="0" shapeId="0" xr:uid="{A3A07C8F-3FBA-478F-AF6D-688A8BA5414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66" authorId="0" shapeId="0" xr:uid="{A40B122E-B3F6-430B-86DE-E848B3C11A7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68" authorId="0" shapeId="0" xr:uid="{C92351B3-B02D-4F81-AF4C-ECB49C35816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69" authorId="0" shapeId="0" xr:uid="{7761B2EA-E652-4ED2-B689-DCA40755FDE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74" authorId="0" shapeId="0" xr:uid="{C90B79E9-BEBA-4AC5-8437-6F1A4016A50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75" authorId="0" shapeId="0" xr:uid="{396CF7B3-3B14-47F4-B755-4A4C224EBEC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80" authorId="0" shapeId="0" xr:uid="{2E60DA9F-8443-4997-A418-F2DA2F5A6E3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81" authorId="0" shapeId="0" xr:uid="{526A1E80-C61F-47CF-A4B9-FE9238ACE0D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82" authorId="0" shapeId="0" xr:uid="{C0036E8E-E1EE-4495-8ED6-81EBA17C570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83" authorId="0" shapeId="0" xr:uid="{F3D3ECD1-720D-41A7-9CCB-00B6CD74DC5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88" authorId="0" shapeId="0" xr:uid="{280D6641-282A-4752-821C-DB98574A74A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94" authorId="0" shapeId="0" xr:uid="{2ECF6BD0-3226-4C55-AD03-902371BDF27F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295" authorId="0" shapeId="0" xr:uid="{98B67C9F-C0D5-49C3-B121-489A01C6A54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302" authorId="0" shapeId="0" xr:uid="{5235A5A0-A244-45CC-9904-DEC3B3C1D25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J303" authorId="0" shapeId="0" xr:uid="{20FBE323-0859-4C81-892C-B0FECEFAF7A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K313" authorId="0" shapeId="0" xr:uid="{BE0FC799-FACC-4B78-8C3C-C62AAC9A179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Ausgenommen für WAD</t>
        </r>
      </text>
    </comment>
    <comment ref="K315" authorId="0" shapeId="0" xr:uid="{5A217478-5801-4A71-ACA3-132B883FE3C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16" authorId="0" shapeId="0" xr:uid="{839A0B96-FF32-4975-A717-C74BBDEF1DD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17" authorId="0" shapeId="0" xr:uid="{5C31C973-908D-4261-9152-B1E71423AEB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18" authorId="0" shapeId="0" xr:uid="{C4E8E95F-CC11-44A8-8DEE-34E6DACB6DA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27" authorId="0" shapeId="0" xr:uid="{C5CEF06E-5FC6-41DC-9557-6CF8B160FAD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35" authorId="0" shapeId="0" xr:uid="{A895E050-9BE9-4F96-B35C-60A44CADC26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36" authorId="0" shapeId="0" xr:uid="{C2F0BB4F-C45E-4885-8025-7E6A57C0DB4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37" authorId="0" shapeId="0" xr:uid="{ADBF81DA-A874-4656-8DE9-676A47C123C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38" authorId="0" shapeId="0" xr:uid="{E3293E2B-DE9E-4F5E-886B-308BFE7C0B4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46" authorId="0" shapeId="0" xr:uid="{4F6C9518-19BF-4460-AF28-3DC249BC564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51" authorId="0" shapeId="0" xr:uid="{4BBF108B-A6D1-44F4-81C7-7E7483D4CDC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52" authorId="0" shapeId="0" xr:uid="{CA06BFE0-35C3-4B60-8A55-2A0CA02F428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53" authorId="0" shapeId="0" xr:uid="{8D966CC3-D6AB-4519-8BC4-CACF676F0ED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54" authorId="0" shapeId="0" xr:uid="{91FA8AF6-7FBA-49CB-83AF-C308535025F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56" authorId="0" shapeId="0" xr:uid="{ADF65C82-88D2-4C83-AC20-526F8778D21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57" authorId="0" shapeId="0" xr:uid="{A6B012CC-B9D3-4C4F-9B9E-1225EE33C72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K380" authorId="0" shapeId="0" xr:uid="{91FCEFE3-A7E0-4122-8C7C-BAB26F20938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R380" authorId="0" shapeId="0" xr:uid="{27E0D51E-58B3-41B0-8D88-69948012301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K381" authorId="0" shapeId="0" xr:uid="{B158396A-DAE1-4585-890D-623529A80F8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R381" authorId="0" shapeId="0" xr:uid="{E84779C0-C277-4991-BF91-0643BCED149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K382" authorId="0" shapeId="0" xr:uid="{3532F075-5918-42C2-9C6A-6715BE07363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R382" authorId="0" shapeId="0" xr:uid="{3CF5607E-B719-47F3-A61D-4A9ACDB5F5A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K383" authorId="0" shapeId="0" xr:uid="{58A0ACA6-76DC-40F5-A46F-08F1B15C31B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R383" authorId="0" shapeId="0" xr:uid="{B93F2322-A602-4094-89E5-FC1B64D7093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K387" authorId="0" shapeId="0" xr:uid="{EED4F34E-3184-41B0-8D85-9F0BE3C48A8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K394" authorId="0" shapeId="0" xr:uid="{813AB35F-EC53-4C93-A83A-3023CCFF4F5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K395" authorId="0" shapeId="0" xr:uid="{B864435A-32C2-4571-9C51-A48B32BA61C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H445" authorId="0" shapeId="0" xr:uid="{7D6719E1-FF2C-4EE0-833E-CC905BACBB5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Ausnahmebedingungen</t>
        </r>
      </text>
    </comment>
    <comment ref="J446" authorId="0" shapeId="0" xr:uid="{98F171D2-30CE-4879-B157-B078CCBD829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Fehlt in Tab. ZA.1</t>
        </r>
      </text>
    </comment>
    <comment ref="K446" authorId="0" shapeId="0" xr:uid="{F926BAE6-CEE8-4433-8694-AED9C2588EF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Fehlt in Tab. ZA.2</t>
        </r>
      </text>
    </comment>
    <comment ref="J450" authorId="0" shapeId="0" xr:uid="{B24B12FB-E33B-4D27-B4FE-974E4A3CF38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Ist schon in den 10.x-Kriterien enthalten.</t>
        </r>
      </text>
    </comment>
    <comment ref="J451" authorId="0" shapeId="0" xr:uid="{3526D03A-0585-4998-95E0-789704B1976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C457" authorId="0" shapeId="0" xr:uid="{19860667-DC02-4C46-B115-CFBA309A907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Leer</t>
        </r>
      </text>
    </comment>
  </commentList>
</comments>
</file>

<file path=xl/sharedStrings.xml><?xml version="1.0" encoding="utf-8"?>
<sst xmlns="http://schemas.openxmlformats.org/spreadsheetml/2006/main" count="1563" uniqueCount="739">
  <si>
    <t>(1) Struktur und Semantik klar vorgeben</t>
  </si>
  <si>
    <t>(2) Navigation und Orientierung erleichtern</t>
  </si>
  <si>
    <t>(5) Untertitel &amp; Audiodeskription für Videos anbieten</t>
  </si>
  <si>
    <t>(6) Farbeinsatz &amp; Textgestaltung bedenken</t>
  </si>
  <si>
    <t>(7) Animationen, Ablenkungen, Flackern, Timeouts &amp; Unterbrechungen vermeiden</t>
  </si>
  <si>
    <t>(8) Formular-Eingaben erleichtern</t>
  </si>
  <si>
    <t>(9) Mobile Geräte und besondere Eingabemethoden bedenken</t>
  </si>
  <si>
    <t>(10) Kommunikation per Text, Audio &amp; Video unterstützen</t>
  </si>
  <si>
    <t>(11) Support, Dokumentationen &amp; generierte Inhalte bedenken</t>
  </si>
  <si>
    <t>Zeilensumme</t>
  </si>
  <si>
    <t>Kategorie</t>
  </si>
  <si>
    <t>shall</t>
  </si>
  <si>
    <t>should</t>
  </si>
  <si>
    <t>A</t>
  </si>
  <si>
    <t>AA</t>
  </si>
  <si>
    <t>AAA</t>
  </si>
  <si>
    <t xml:space="preserve">BITV§4a Gebärdensprache </t>
  </si>
  <si>
    <t>BITV20</t>
  </si>
  <si>
    <t xml:space="preserve">BITV§4b Leichte Sprache </t>
  </si>
  <si>
    <t>BITV§7 Erklärung zur Barrierefreiheit</t>
  </si>
  <si>
    <t>PDF/UA</t>
  </si>
  <si>
    <t>"Höchstmögliches Maß an Barrierefreiheit"</t>
  </si>
  <si>
    <t>Summe (A)</t>
  </si>
  <si>
    <t>Summe (AA)</t>
  </si>
  <si>
    <t>Summe (AAA)</t>
  </si>
  <si>
    <t>Summe (shall)</t>
  </si>
  <si>
    <t>Summe (should)</t>
  </si>
  <si>
    <t>Gesamt</t>
  </si>
  <si>
    <t>Summe Pflicht (ohne AAA / should)</t>
  </si>
  <si>
    <t>5.2 Aktivierung von Barrierefreiheitsfunktionen</t>
  </si>
  <si>
    <t>5.3 Biometrie</t>
  </si>
  <si>
    <t>5.4 Erhaltung von Barrierefreiheitsinformationen bei Konvertierung</t>
  </si>
  <si>
    <t>5.5.1 Möglichkeiten der Bedienung</t>
  </si>
  <si>
    <t>5.6.1 Taktiler oder auditiver Status</t>
  </si>
  <si>
    <t>5.6.2 Visueller Status</t>
  </si>
  <si>
    <t>5.7 Tastenwiederholung</t>
  </si>
  <si>
    <t>5.8 Annahme eines zweifachen Tastenanschlags</t>
  </si>
  <si>
    <t>5.9 Gleichzeitige Benutzerhandlungen</t>
  </si>
  <si>
    <t>6.1 Audiobandbreite für Sprache</t>
  </si>
  <si>
    <t>6.2.1.1 Textkommunikation in Echtzeit</t>
  </si>
  <si>
    <t>6.2.1.2 Gleichzeitige Sprache und Text</t>
  </si>
  <si>
    <t>6.2.2.1 Visuell unterscheidbare Anzeige von Textnachrichten</t>
  </si>
  <si>
    <t>6.2.2.2 Programmatisch unterscheidbare Anzeige von Textnachrichten</t>
  </si>
  <si>
    <t>6.2.2.3 Sprecheridentifizierung</t>
  </si>
  <si>
    <t>6.2.2.4 Echtzeitanzeige von Sprech-Aktivität</t>
  </si>
  <si>
    <t>6.2.4 Reaktionsgeschwindigkeit der Echtzeit-Textkommunikation</t>
  </si>
  <si>
    <t>6.3 Anrufer-Identifizierung</t>
  </si>
  <si>
    <t>6.4 Alternativen zu sprachbasierten Diensten</t>
  </si>
  <si>
    <t>6.5.2 Auflösung bei Videotelefonie</t>
  </si>
  <si>
    <t>6.5.3 Bildwiederholfrequenz bei Videotelefonie</t>
  </si>
  <si>
    <t>6.5.4 Synchronisierung zwischen Audio und Video</t>
  </si>
  <si>
    <t>6.5.5 Visueller Indikator für Audio bei Video</t>
  </si>
  <si>
    <t>6.5.6 Sprecheridentifizierung mit Video (Gebärdensprache) Kommunikation</t>
  </si>
  <si>
    <t>open</t>
  </si>
  <si>
    <t>closed</t>
  </si>
  <si>
    <t>5.1.2.1 Closed functionality</t>
  </si>
  <si>
    <t>5.1.3.2 Auditory output delivery including speech</t>
  </si>
  <si>
    <t>5.1.3.3 Auditory output correlation</t>
  </si>
  <si>
    <t>5.1.3.4 Speech output user control</t>
  </si>
  <si>
    <t>5.1.3.5 Speech output automatic interruption</t>
  </si>
  <si>
    <t>5.1.3.6 Speech output for non-text content</t>
  </si>
  <si>
    <t>5.1.3.7 Speech output for video information</t>
  </si>
  <si>
    <t>5.1.3.8 Masked entry</t>
  </si>
  <si>
    <t>5.1.3.9 Private access to personal data</t>
  </si>
  <si>
    <t>5.1.3.10 Non-interfering audio output</t>
  </si>
  <si>
    <t>5.1.3.11 Private listening volume</t>
  </si>
  <si>
    <t>5.1.3.12 Speaker volume</t>
  </si>
  <si>
    <t>5.1.3.13 Volume reset</t>
  </si>
  <si>
    <t>5.1.3.14 Spoken languages</t>
  </si>
  <si>
    <t>5.1.3.15 Non-visual error identification</t>
  </si>
  <si>
    <t>5.1.3.16 Receipts, tickets, and transactional outputs</t>
  </si>
  <si>
    <t>5.1.4 Functionality closed to text enlargement</t>
  </si>
  <si>
    <t>5.1.5 Visual output for auditory information</t>
  </si>
  <si>
    <t>5.1.7 Access without speech</t>
  </si>
  <si>
    <t>5.2 Activation of accessibility features</t>
  </si>
  <si>
    <t>5.3 Biometrics</t>
  </si>
  <si>
    <t>5.4 Preservation of accessibility information during conversion</t>
  </si>
  <si>
    <t>5.5.1 Means of operation</t>
  </si>
  <si>
    <t>5.6.1 Tactile or auditory status</t>
  </si>
  <si>
    <t>5.6.2 Visual status</t>
  </si>
  <si>
    <t>5.7 Key repeat</t>
  </si>
  <si>
    <t>5.8 Double-strike key acceptance</t>
  </si>
  <si>
    <t>5.9 Simultaneous user actions</t>
  </si>
  <si>
    <t>6.2.1.1 RTT communication</t>
  </si>
  <si>
    <t>6.2.1.2 Concurrent voice and text</t>
  </si>
  <si>
    <t>6.2.2.1 Visually distinguishable display</t>
  </si>
  <si>
    <t>6.2.2.2 Programmatically determinable send and receive direction</t>
  </si>
  <si>
    <t>6.2.2.3 Speaker identification</t>
  </si>
  <si>
    <t>6.2.2.4 Visual indicator of Audio with RTT</t>
  </si>
  <si>
    <t>6.2.3 Interoperability</t>
  </si>
  <si>
    <t>6.2.4 RTT responsiveness</t>
  </si>
  <si>
    <t>6.3 Caller ID</t>
  </si>
  <si>
    <t>6.4 Alternatives to voice-based services</t>
  </si>
  <si>
    <t>6.5.2 Resolution</t>
  </si>
  <si>
    <t>6.5.3 Frame rate</t>
  </si>
  <si>
    <t>6.5.4 Synchronization between audio and video</t>
  </si>
  <si>
    <t>6.5.5 Visual indicator of audio with video</t>
  </si>
  <si>
    <t>6.5.6 Speaker identification with video (sign language) communication</t>
  </si>
  <si>
    <t>7.1.1 Captioning playback</t>
  </si>
  <si>
    <t>7.1.2 Captioning synchronization</t>
  </si>
  <si>
    <t>7.1.3 Preservation of captioning</t>
  </si>
  <si>
    <t>7.1.4 Captions characteristics</t>
  </si>
  <si>
    <t>7.1.5 Spoken subtitles</t>
  </si>
  <si>
    <t>7.2.1 Audio description playback</t>
  </si>
  <si>
    <t>7.2.2 Audio description synchronization</t>
  </si>
  <si>
    <t>7.2.3 Preservation of audio description</t>
  </si>
  <si>
    <t>7.3 User controls for captions and audio description</t>
  </si>
  <si>
    <t>8.1.2 Standard connections</t>
  </si>
  <si>
    <t>8.1.3 Colour</t>
  </si>
  <si>
    <t>8.2.1.1 Speech volume range</t>
  </si>
  <si>
    <t>8.2.1.2 Incremental volume control</t>
  </si>
  <si>
    <t>8.2.2.1 Fixed-line devices</t>
  </si>
  <si>
    <t>8.2.2.2 Wireless communication devices</t>
  </si>
  <si>
    <t>8.3.1 Forward or side reach</t>
  </si>
  <si>
    <t>8.3.2.1 Unobstructed high forward reach</t>
  </si>
  <si>
    <t>8.3.2.2 Unobstructed low forward reach</t>
  </si>
  <si>
    <t>8.3.2.3.2 Obstructed (&lt; 510 mm) forward reach</t>
  </si>
  <si>
    <t>8.3.2.3.3 Obstructed (&lt; 635 mm) forward reach</t>
  </si>
  <si>
    <t>8.3.2.4 Knee and toe clearance width</t>
  </si>
  <si>
    <t>8.3.2.5 Toe clearance</t>
  </si>
  <si>
    <t>8.3.2.6 Knee clearance</t>
  </si>
  <si>
    <t>8.3.3.1 Unobstructed high side reach</t>
  </si>
  <si>
    <t>8.3.3.2 Unobstructed low side reach</t>
  </si>
  <si>
    <t>8.3.3.3.1 Obstructed (≤ 255 mm) side reach</t>
  </si>
  <si>
    <t>8.3.3.3.2 Obstructed (≤ 610 mm) side reach</t>
  </si>
  <si>
    <t>8.3.4.1 Change in level</t>
  </si>
  <si>
    <t>8.3.4.2 Clear floor or ground space</t>
  </si>
  <si>
    <t>8.3.4.3.2 Forward approach</t>
  </si>
  <si>
    <t>8.3.4.3.3 Parallel approach</t>
  </si>
  <si>
    <t>8.3.5 Visibility</t>
  </si>
  <si>
    <t>8.3.6 Installation instructions</t>
  </si>
  <si>
    <t>8.4.1 Numeric keys</t>
  </si>
  <si>
    <t>8.4.2.1 Means of operation of mechanical parts</t>
  </si>
  <si>
    <t>8.4.2.2 Force of operation of mechanical parts</t>
  </si>
  <si>
    <t>8.4.3 Keys, tickets and fare cards</t>
  </si>
  <si>
    <t>8.5 Tactile indication of speech mode</t>
  </si>
  <si>
    <t>11.1.1.1.1 Non-text content (open functionality)</t>
  </si>
  <si>
    <t>11.1.1.1.2 Non-text content (closed functionality)</t>
  </si>
  <si>
    <t>11.1.2.1.1 Audio-only and video-only (pre-recorded - open functionality)</t>
  </si>
  <si>
    <t>11.1.2.1.2.1 Pre-recorded audio-only (closed functionality)</t>
  </si>
  <si>
    <t>11.1.2.1.2.2 Pre-recorded video-only (closed functionality)</t>
  </si>
  <si>
    <t>11.1.2.2 Captions (pre-recorded)</t>
  </si>
  <si>
    <t>11.1.2.3.1 Audio description or media alternative (pre-recorded - open functionality)</t>
  </si>
  <si>
    <t>11.1.2.3.2 Audio description or media alternative (pre-recorded - closed functionality)</t>
  </si>
  <si>
    <t>11.1.2.4 Captions (live)</t>
  </si>
  <si>
    <t>11.1.2.5 Audio description (pre-recorded)</t>
  </si>
  <si>
    <t>11.1.3.1.1 Info and relationships (open functionality)</t>
  </si>
  <si>
    <t>11.1.3.1.2 Info and relationships (closed functionality)</t>
  </si>
  <si>
    <t>11.1.3.2.1 Meaningful sequence (open functionality)</t>
  </si>
  <si>
    <t>11.1.3.2.2 Meaningful sequence (closed functionality)</t>
  </si>
  <si>
    <t>11.1.3.3 Sensory characteristics</t>
  </si>
  <si>
    <t>11.1.3.4 Orientation</t>
  </si>
  <si>
    <t>11.1.3.5.1 Identify input purpose (open functionality)</t>
  </si>
  <si>
    <t>11.1.3.5.2 Identify input purpose (closed functionality)</t>
  </si>
  <si>
    <t>11.1.4.1 Use of colour</t>
  </si>
  <si>
    <t>11.1.4.2 Audio control</t>
  </si>
  <si>
    <t>11.1.4.3 Contrast (minimum)</t>
  </si>
  <si>
    <t>11.1.4.4.1 Resize text (open functionality)</t>
  </si>
  <si>
    <t>11.1.4.4.2 Resize text (closed functionality)</t>
  </si>
  <si>
    <t>11.1.4.5.1 Images of text (open functionality)</t>
  </si>
  <si>
    <t>11.1.4.5.2 Images of text (closed functionality)</t>
  </si>
  <si>
    <t>11.1.4.10 Reflow</t>
  </si>
  <si>
    <t>11.1.4.11 Non-text contrast</t>
  </si>
  <si>
    <t>11.1.4.12 Text spacing</t>
  </si>
  <si>
    <t>11.1.4.13 Content on hover or focus</t>
  </si>
  <si>
    <t>11.2.1.1.1 Keyboard (open functionality)</t>
  </si>
  <si>
    <t>11.2.1.1.2 Keyboard (closed functionality)</t>
  </si>
  <si>
    <t>11.2.1.2 No keyboard trap</t>
  </si>
  <si>
    <t>11.2.1.4.1 Character key shortcuts (open functionality)</t>
  </si>
  <si>
    <t>11.2.1.4.2 Character key shortcuts (closed functionality)</t>
  </si>
  <si>
    <t>11.2.2.1 Timing adjustable</t>
  </si>
  <si>
    <t>11.2.2.2 Pause, stop, hide</t>
  </si>
  <si>
    <t>11.2.3.1 Three flashes or below threshold</t>
  </si>
  <si>
    <t>11.2.4.3 Focus order</t>
  </si>
  <si>
    <t>11.2.4.4 Link purpose (in context)</t>
  </si>
  <si>
    <t>11.2.4.6 Headings and labels</t>
  </si>
  <si>
    <t>11.2.4.7 Focus visible</t>
  </si>
  <si>
    <t>11.2.5.1 Pointer gestures</t>
  </si>
  <si>
    <t>11.2.5.2 Pointer cancellation</t>
  </si>
  <si>
    <t>11.2.5.3.1 Label in name (open functionality)</t>
  </si>
  <si>
    <t>11.2.5.3.2 Label in name (closed functionality)</t>
  </si>
  <si>
    <t>11.2.5.4 Motion actuation</t>
  </si>
  <si>
    <t>11.3.1.1.1 Language of software (open functionality)</t>
  </si>
  <si>
    <t>11.3.1.1.2 Language of software (closed functionality)</t>
  </si>
  <si>
    <t>11.3.2.1 On focus</t>
  </si>
  <si>
    <t>11.3.2.2 On input</t>
  </si>
  <si>
    <t>11.3.3.1.1 Error identification (open functionality)</t>
  </si>
  <si>
    <t>11.3.3.1.2 Error Identification (closed functionality)</t>
  </si>
  <si>
    <t>11.3.3.2 Labels or instructions</t>
  </si>
  <si>
    <t>11.3.3.3 Error suggestion</t>
  </si>
  <si>
    <t>11.3.3.4 Error prevention (legal, financial, data)</t>
  </si>
  <si>
    <t>11.4.1.1.1 Parsing (open functionality)</t>
  </si>
  <si>
    <t>11.4.1.2.1 Name, role, value (open functionality)</t>
  </si>
  <si>
    <t>11.4.1.3.1 Status messages (open functionality)</t>
  </si>
  <si>
    <t>11.5.1 Closed functionality</t>
  </si>
  <si>
    <t>11.5.2.2 Platform accessibility service support for assistive technologies</t>
  </si>
  <si>
    <t>11.5.2.3 Use of accessibility services</t>
  </si>
  <si>
    <t>11.5.2.4 Assistive technology</t>
  </si>
  <si>
    <t>11.5.2.5 Object information</t>
  </si>
  <si>
    <t>11.5.2.6 Row, column, and headers</t>
  </si>
  <si>
    <t>11.5.2.7 Values</t>
  </si>
  <si>
    <t>11.5.2.8 Label relationships</t>
  </si>
  <si>
    <t>11.5.2.9 Parent-child relationships</t>
  </si>
  <si>
    <t>11.5.2.10 Text</t>
  </si>
  <si>
    <t>11.5.2.11 List of available actions</t>
  </si>
  <si>
    <t>11.5.2.12 Execution of available actions</t>
  </si>
  <si>
    <t>11.5.2.13 Tracking of focus and selection attributes</t>
  </si>
  <si>
    <t>11.5.2.14 Modification of focus and selection attributes</t>
  </si>
  <si>
    <t>11.5.2.15 Change notification</t>
  </si>
  <si>
    <t>11.5.2.16 Modifications of states and properties</t>
  </si>
  <si>
    <t>11.5.2.17 Modifications of values and text</t>
  </si>
  <si>
    <t>11.6.1 User control of accessibility features</t>
  </si>
  <si>
    <t>11.6.2 No disruption of accessibility features</t>
  </si>
  <si>
    <t>11.7 User preferences</t>
  </si>
  <si>
    <t>11.8.1 Content technology</t>
  </si>
  <si>
    <t>11.8.2 Accessible content creation</t>
  </si>
  <si>
    <t>11.8.3 Preservation of accessibility information in transformations</t>
  </si>
  <si>
    <t>11.8.4 Repair assistance</t>
  </si>
  <si>
    <t>11.8.5 Templates</t>
  </si>
  <si>
    <t>12.1.1 Accessibility and compatibility features</t>
  </si>
  <si>
    <t>12.1.2 Accessible documentation</t>
  </si>
  <si>
    <t>12.2.2 Information on accessibility and compatibility features</t>
  </si>
  <si>
    <t>12.2.3 Effective communication</t>
  </si>
  <si>
    <t>12.2.4 Accessible documentation</t>
  </si>
  <si>
    <t>13.1.2 Text relay services</t>
  </si>
  <si>
    <t>13.1.3 Sign relay services</t>
  </si>
  <si>
    <t>13.1.4 Lip-reading relay services</t>
  </si>
  <si>
    <t>13.1.5 Captioned telephony services</t>
  </si>
  <si>
    <t>13.1.6 Speech to speech relay services</t>
  </si>
  <si>
    <t>13.2 Access to relay services</t>
  </si>
  <si>
    <t>13.3 Access to emergency services</t>
  </si>
  <si>
    <t>Prüfschritte aus EN 301 549 v4.1.0</t>
  </si>
  <si>
    <t>Deutsche Bezeichnung v4.1.0</t>
  </si>
  <si>
    <t>English titles v3.2.1</t>
  </si>
  <si>
    <t>Deutsche Bezeichner v3.2.1</t>
  </si>
  <si>
    <t>5.1.6.1 Functionality closed to keyboards</t>
  </si>
  <si>
    <t>5.1.6.2 Input focus</t>
  </si>
  <si>
    <t>6.2.2.5 Review of RTT communication contents</t>
  </si>
  <si>
    <t>8.2.1.1 Speech volume gain</t>
  </si>
  <si>
    <t>8.2.2.1 Fixed-line devices and handsets</t>
  </si>
  <si>
    <t>8.4.2.1 Means of operation</t>
  </si>
  <si>
    <t>8.4.2.2 Force of operation of operable parts</t>
  </si>
  <si>
    <t>8.6 Standard connections</t>
  </si>
  <si>
    <t>8.7 Colour on hardware</t>
  </si>
  <si>
    <t>8.8 Contrast on hardware</t>
  </si>
  <si>
    <t>9.1.1.1 Non-text content</t>
  </si>
  <si>
    <t>9.1.2.1 Audio-only and video-only (pre-recorded)</t>
  </si>
  <si>
    <t>9.1.2.2 Subtitles (pre-recorded)</t>
  </si>
  <si>
    <t>9.1.2.3 Audio description or media alternative (pre-recorded)</t>
  </si>
  <si>
    <t>9.1.2.4 Subtitles (live)</t>
  </si>
  <si>
    <t>9.1.2.5 Audio description (pre-recorded)</t>
  </si>
  <si>
    <t>9.1.3.1 Info and relationships</t>
  </si>
  <si>
    <t>9.1.3.2 Meaningful sequence</t>
  </si>
  <si>
    <t>9.1.3.3 Sensory characteristics</t>
  </si>
  <si>
    <t>9.1.3.4 Orientation</t>
  </si>
  <si>
    <t>9.1.3.5 Identify input purpose</t>
  </si>
  <si>
    <t>9.1.4.1 Use of colour</t>
  </si>
  <si>
    <t>9.1.4.2 Audio control</t>
  </si>
  <si>
    <t>9.1.4.3 Contrast (minimum)</t>
  </si>
  <si>
    <t>9.1.4.4 Resize text</t>
  </si>
  <si>
    <t>9.1.4.5 Images of text</t>
  </si>
  <si>
    <t>9.1.4.10 Reflow</t>
  </si>
  <si>
    <t>9.1.4.11 Non-text contrast</t>
  </si>
  <si>
    <t>9.1.4.12 Text spacing</t>
  </si>
  <si>
    <t>9.1.4.13 Content on hover or focus</t>
  </si>
  <si>
    <t>9.2.1.1 Keyboard</t>
  </si>
  <si>
    <t>9.2.1.2 No keyboard trap</t>
  </si>
  <si>
    <t>9.2.1.4 Character key shortcuts</t>
  </si>
  <si>
    <t>9.2.2.1 Timing adjustable</t>
  </si>
  <si>
    <t>9.2.2.2 Pause, stop, hide</t>
  </si>
  <si>
    <t>9.2.3.1 Three flashes or below threshold</t>
  </si>
  <si>
    <t>9.2.4.1 Bypass blocks</t>
  </si>
  <si>
    <t>9.2.4.2 Page titled</t>
  </si>
  <si>
    <t>9.2.4.3 Focus order</t>
  </si>
  <si>
    <t>9.2.4.4 Link purpose (in context)</t>
  </si>
  <si>
    <t>9.2.4.5 Multiple ways</t>
  </si>
  <si>
    <t>9.2.4.6 Headings and labels</t>
  </si>
  <si>
    <t>9.2.4.7 Focus visible</t>
  </si>
  <si>
    <t>9.2.4.11 Focus not obscured (minimum)</t>
  </si>
  <si>
    <t>9.2.5.1 Pointer gestures</t>
  </si>
  <si>
    <t>9.2.5.2 Pointer cancellation</t>
  </si>
  <si>
    <t>9.2.5.3 Label in name</t>
  </si>
  <si>
    <t>9.2.5.4 Motion actuation</t>
  </si>
  <si>
    <t>9.2.5.7 Dragging movements</t>
  </si>
  <si>
    <t>9.2.5.8 Target size (minimum)</t>
  </si>
  <si>
    <t>9.3.1.1 Language of page</t>
  </si>
  <si>
    <t>9.3.1.2 Language of parts</t>
  </si>
  <si>
    <t>9.3.2.1 On focus</t>
  </si>
  <si>
    <t>9.3.2.2 On input</t>
  </si>
  <si>
    <t>9.3.2.3 Consistent navigation</t>
  </si>
  <si>
    <t>9.3.2.4 Consistent identification</t>
  </si>
  <si>
    <t>9.3.2.6 Consistent help</t>
  </si>
  <si>
    <t>9.3.3.1 Error identification</t>
  </si>
  <si>
    <t>9.3.3.2 Labels or instructions</t>
  </si>
  <si>
    <t>9.3.3.3 Error suggestion</t>
  </si>
  <si>
    <t>9.3.3.4 Error prevention (legal, financial, data)</t>
  </si>
  <si>
    <t>9.3.3.7 Redundant entry</t>
  </si>
  <si>
    <t>9.3.3.8 Accessible authentication (minimum)</t>
  </si>
  <si>
    <t>9.4.1.2 Name, role, value</t>
  </si>
  <si>
    <t>9.4.1.3 Status messages</t>
  </si>
  <si>
    <t>9.6 WCAG conformance requirements</t>
  </si>
  <si>
    <t>9.7 User preferences for web pages</t>
  </si>
  <si>
    <t>11.1.1.1 Non-text content</t>
  </si>
  <si>
    <t>11.1.2.1 Audio-only and video-only (pre-recorded)</t>
  </si>
  <si>
    <t>11.1.2.2 Subtitles (pre-recorded)</t>
  </si>
  <si>
    <t>11.1.2.3 Audio description or media alternative (pre-recorded)</t>
  </si>
  <si>
    <t>11.1.2.4 Subtitles (live)</t>
  </si>
  <si>
    <t>11.1.3.1 Info and relationships</t>
  </si>
  <si>
    <t>11.1.3.2 Meaningful sequence</t>
  </si>
  <si>
    <t>11.1.3.5 Identify input purpose</t>
  </si>
  <si>
    <t>11.1.4.4 Resize text</t>
  </si>
  <si>
    <t>11.1.4.5 Images of text</t>
  </si>
  <si>
    <t>11.2.1.1 Keyboard</t>
  </si>
  <si>
    <t xml:space="preserve">11.2.1.4 Character key shortcuts </t>
  </si>
  <si>
    <t>11.2.4.2 Non-web software titled</t>
  </si>
  <si>
    <t>11.2.4.11 Focus not obscured (minimum)</t>
  </si>
  <si>
    <t>11.2.5.3 Label in name</t>
  </si>
  <si>
    <t>11.2.5.7 Dragging movements</t>
  </si>
  <si>
    <t>11.2.5.8 Target size (minimum)</t>
  </si>
  <si>
    <t>11.3.1.1 Language of non-web software</t>
  </si>
  <si>
    <t>11.3.2.4 Consistent identification</t>
  </si>
  <si>
    <t>11.3.3.1 Error identification</t>
  </si>
  <si>
    <t>11.3.3.7 Redundant entry</t>
  </si>
  <si>
    <t>11.3.3.8 Accessible authentication (minimum)</t>
  </si>
  <si>
    <t>11.4.1.2 Name, role, value</t>
  </si>
  <si>
    <t>11.4.1.3 Status messages</t>
  </si>
  <si>
    <t>11.5.2.1 Platform interoperability with assistive technologies</t>
  </si>
  <si>
    <t xml:space="preserve">12.1 Accessible information about products </t>
  </si>
  <si>
    <t>12.2 Accessible information about services</t>
  </si>
  <si>
    <t>12.3 Accessibility and compatibility features</t>
  </si>
  <si>
    <t>12.4 Electronic program guides</t>
  </si>
  <si>
    <t>12.5 Electronic program guide display</t>
  </si>
  <si>
    <t>13.1.2.3 Conveying of caller identifier in relayed communications for primary relay users</t>
  </si>
  <si>
    <t>13.1.2.4 Relay service invocation decision in outgoing communications</t>
  </si>
  <si>
    <t>13.1.2.5 Relay service invocation decision in incoming communications</t>
  </si>
  <si>
    <t>13.1.2.6 Relay service support requested by the primary user for emergency communications</t>
  </si>
  <si>
    <t>13.1.3.1 Relaying action in relay service communication</t>
  </si>
  <si>
    <t>13.1.3.2 Media handling in relay service communication</t>
  </si>
  <si>
    <t>13.1.3.3 Relay service support in ICT based conferences</t>
  </si>
  <si>
    <t>13.1.3.4 Relay service support during emergency communications initiated by the PSAP</t>
  </si>
  <si>
    <t>6.6 Alternatives to video-based services (recommendation)</t>
  </si>
  <si>
    <t>8.3.5.1 Control location (vertical, no design restrictions)</t>
  </si>
  <si>
    <t>8.3.5.2 Control location (vertical, with design restrictions)</t>
  </si>
  <si>
    <t>8.3.6 Control location (horizontal)</t>
  </si>
  <si>
    <t>8.3.7.1 Reach depth (no design restrictions)</t>
  </si>
  <si>
    <t>8.3.7.2 Reach depth (with design restrictions)</t>
  </si>
  <si>
    <t>8.3.8 Forward or side reach (informative)</t>
  </si>
  <si>
    <t>8.3.9.2 Obstructed forward reach (no design constraints)</t>
  </si>
  <si>
    <t>8.3.9.3 Obstructed forward reach (with design constraints)</t>
  </si>
  <si>
    <t>8.3.12 Floor characteristics (informative)</t>
  </si>
  <si>
    <t>8.3.14 Installation instructions</t>
  </si>
  <si>
    <t>11.5.1 Closed functionality (informative)</t>
  </si>
  <si>
    <t>11.5.2.3 Use of accessibility services (recommendation)</t>
  </si>
  <si>
    <t>13.1.2.2 Use of the primary user destination address in relayed communications</t>
  </si>
  <si>
    <t>13.3 Access to emergency services (informative)</t>
  </si>
  <si>
    <t>14.2 Special states</t>
  </si>
  <si>
    <t>14.3 One mode</t>
  </si>
  <si>
    <t xml:space="preserve">5.1.2.2 Assistive technology </t>
  </si>
  <si>
    <t>5.1.3.1 Audio output of visual information</t>
  </si>
  <si>
    <t>5.5.2 Operable parts discernibility</t>
  </si>
  <si>
    <t>6.1 Audio bandwidth for speech</t>
  </si>
  <si>
    <t>8.3.2.3.1 Clear space</t>
  </si>
  <si>
    <t>8.3.4.3.1 General (on approach)</t>
  </si>
  <si>
    <t>9.1.2.2 Captions (pre-recorded)</t>
  </si>
  <si>
    <t>9.1.2.4 Captions (live)</t>
  </si>
  <si>
    <t>9.4.1.1 Parsing</t>
  </si>
  <si>
    <t>void</t>
  </si>
  <si>
    <t>11.5.2.1 Platform accessibility service support for software that provides a user  interface</t>
  </si>
  <si>
    <t>6.7.1 Total conversation provision</t>
  </si>
  <si>
    <t>6.7.2 Total conversation interoperability</t>
  </si>
  <si>
    <t>merged with 11.5.2.1</t>
  </si>
  <si>
    <t>English titles v4.1.0 as of 2026-06 final draft for vote</t>
  </si>
  <si>
    <t>Achtung: Bitte diese Datei nicht in OnlyOffice oder LibreOffice bearbeiten - sie kann sonst beschädigt werden!</t>
  </si>
  <si>
    <t>5.1.8 Identify input purpose (closed functionality)</t>
  </si>
  <si>
    <t>5.5 Tactilely discernible operable parts</t>
  </si>
  <si>
    <t>non-existing</t>
  </si>
  <si>
    <t xml:space="preserve">6.0.2 Communication client </t>
  </si>
  <si>
    <t>6.0.3 Communication system</t>
  </si>
  <si>
    <t>6.0.4 System connecting to another communication system</t>
  </si>
  <si>
    <t>6.0.5 System with roaming visiting client</t>
  </si>
  <si>
    <t>6.0.6 Client in emergency communications</t>
  </si>
  <si>
    <t xml:space="preserve">6.0.7 Emergency communications </t>
  </si>
  <si>
    <t>6.0.8 System with roaming visiting client in an emergency</t>
  </si>
  <si>
    <t>6.0.9 System with client in emergency visiting another country</t>
  </si>
  <si>
    <t>6.1.1 Voice communication interoperability</t>
  </si>
  <si>
    <t>5.1.2.2 Assistive technology and closed functionality</t>
  </si>
  <si>
    <t>5.1.3.1 Auditory output of visual information</t>
  </si>
  <si>
    <t>5.1.3.6 Auditory output for non-text content</t>
  </si>
  <si>
    <t>5.1.3.7 Auditory output for video information</t>
  </si>
  <si>
    <t xml:space="preserve"> --&gt; merged with 8.4.2.1</t>
  </si>
  <si>
    <t xml:space="preserve">6.1.2 Audio bandwidth for capture and presentation for voice communication </t>
  </si>
  <si>
    <t>6.1.3 Audio presentation in attached listening devices for voice communication (recommendation)</t>
  </si>
  <si>
    <t>6.1.4 Synchronization of subtitles (recommendation)</t>
  </si>
  <si>
    <t>6.2.1.1 RTT functionality</t>
  </si>
  <si>
    <t>6.2.1.2 Concurrent voice and RTT</t>
  </si>
  <si>
    <t>6.2.1.3 Single user action</t>
  </si>
  <si>
    <t>6.2.2.1 Distinguishable display</t>
  </si>
  <si>
    <t>6.2.2.2 Active communicator indication</t>
  </si>
  <si>
    <t>6.2.2.3 Indication of audio with RTT</t>
  </si>
  <si>
    <t>6.2.2.4 Presentation of relative time order of text</t>
  </si>
  <si>
    <t>6.2.3 DTMF touch-tone generation during RTT operations</t>
  </si>
  <si>
    <t>6.2.10 RTT interoperability</t>
  </si>
  <si>
    <t>6.2.5 Adding and erasing of RTT input</t>
  </si>
  <si>
    <t>6.2.6 Processing rate of RTT</t>
  </si>
  <si>
    <t>6.2.7 Character representation</t>
  </si>
  <si>
    <t>6.2.9 RTT media establishment and use</t>
  </si>
  <si>
    <t>6.5.5 Indicator of audio with video</t>
  </si>
  <si>
    <t>Comments on v4.1.0</t>
  </si>
  <si>
    <t>Duplicate with 6.2.2.3, here for voice+RTT communication</t>
  </si>
  <si>
    <t>max. 500ms delay from end to end</t>
  </si>
  <si>
    <t>6.2.8 RTT input methods</t>
  </si>
  <si>
    <t>Unicode subset with emojis</t>
  </si>
  <si>
    <t>… available in text form</t>
  </si>
  <si>
    <t>audio-video delay max. 100 ms</t>
  </si>
  <si>
    <t>Duplicate with 6.2.2.3, here for voice+video communication</t>
  </si>
  <si>
    <t>Duplicate with 6.5.6, here for signers</t>
  </si>
  <si>
    <t>Background info: ETSI ES 204 009</t>
  </si>
  <si>
    <t>… video quality</t>
  </si>
  <si>
    <t>8.3.2 Display screen location</t>
  </si>
  <si>
    <t>Necessary info must be at most 1,60 m above floor</t>
  </si>
  <si>
    <t>Display must be at least 0,80 m above floor</t>
  </si>
  <si>
    <t>… at most 2,00 m above floor</t>
  </si>
  <si>
    <t>Controls must be in 0,80-1,10 m height</t>
  </si>
  <si>
    <t>… in 0,38-1,22 m height</t>
  </si>
  <si>
    <t>… max. 0,90 m width</t>
  </si>
  <si>
    <t>… max. 0,30 m behind front</t>
  </si>
  <si>
    <t>… max 0,51 m (forward reach) / 0,61 m (side reach)</t>
  </si>
  <si>
    <t>Obstruction max. 0,80m high and 0,30m deep</t>
  </si>
  <si>
    <t>… max. 0,80 m high and 0,51 m deep</t>
  </si>
  <si>
    <t>… max. 0,865 m high and 0,61 m deep</t>
  </si>
  <si>
    <t>8.3.11.1 Free space underneath stationary ICT with or without an obstruction (no design constraints)</t>
  </si>
  <si>
    <t>8.3.11.2 Free space underneath stationary ICT with or without an obstruction (with design constraints)</t>
  </si>
  <si>
    <t xml:space="preserve"> --&gt; ISO 21542</t>
  </si>
  <si>
    <t>Excempt: ATMs, stationary ICT freestanding, and others</t>
  </si>
  <si>
    <t>Install based on 8.3 --&gt; EN 17210 &amp; ISO 21542</t>
  </si>
  <si>
    <t>(see 8.3.11.1 and 8.3.11.2)</t>
  </si>
  <si>
    <t xml:space="preserve">Physical key 5 tactiley distinct </t>
  </si>
  <si>
    <t>No contrast ratio limit</t>
  </si>
  <si>
    <t>closed / open</t>
  </si>
  <si>
    <t>… overlay tools</t>
  </si>
  <si>
    <t>... startup, shutdown, repair, …</t>
  </si>
  <si>
    <t xml:space="preserve"> --&gt; 12.3</t>
  </si>
  <si>
    <t>obsoleted by WCAG 2</t>
  </si>
  <si>
    <t>… for platform software only</t>
  </si>
  <si>
    <t>7.1.1 Subtitle playback</t>
  </si>
  <si>
    <t>7.1.2 Subtitle synchronization</t>
  </si>
  <si>
    <t>7.1.3 Preservation of subtitles</t>
  </si>
  <si>
    <t xml:space="preserve">7.1.4 Subtitle characteristics </t>
  </si>
  <si>
    <t>7.3 User control of audiovisual accessibility features</t>
  </si>
  <si>
    <t>8.3.3.1 Presentation of information necessary for the operation of stationary ICT (no design restrictions)</t>
  </si>
  <si>
    <t>8.3.3.2 Presentation of information necessary for the operation of stationary ICT (with design restrictions)</t>
  </si>
  <si>
    <t>Krit. gleich geblieben?</t>
  </si>
  <si>
    <t>Die deutschen Bezeichnungen der Prüfschritte orientieren sich an:
  1. Alte deutsche Übersetzung von EN 301 549 v3.2.1
  2. Eigene Übersetzung</t>
  </si>
  <si>
    <t>Level in v4.1.0 / WCAG 2.2</t>
  </si>
  <si>
    <t>9.1.2.6 Sign Language (Prerecorded)</t>
  </si>
  <si>
    <t>9.1.2.7 Extended Audio Description (Prerecorded)</t>
  </si>
  <si>
    <t>9.1.2.8 Media Alternative (Prerecorded)</t>
  </si>
  <si>
    <t>9.1.2.9 Audio-only (Live)</t>
  </si>
  <si>
    <t>9.1.3.6 Identify Purpose</t>
  </si>
  <si>
    <t>9.1.4.6 Contrast (Enhanced)</t>
  </si>
  <si>
    <t>9.1.4.7 Low or No Background Audio</t>
  </si>
  <si>
    <t>9.1.4.8 Visual Presentation</t>
  </si>
  <si>
    <t>9.1.4.9 Images of Text (No Exception)</t>
  </si>
  <si>
    <t>9.2.1.3 Keyboard (No Exception)</t>
  </si>
  <si>
    <t>9.2.2.3 No Timing</t>
  </si>
  <si>
    <t>9.2.2.4 Interruptions</t>
  </si>
  <si>
    <t>9.2.2.5 Re-authenticating</t>
  </si>
  <si>
    <t>9.2.2.6 Timeouts</t>
  </si>
  <si>
    <t>9.2.3.2 Three Flashes</t>
  </si>
  <si>
    <t>9.2.3.3 Animation from Interactions</t>
  </si>
  <si>
    <t>9.2.4.8 Location</t>
  </si>
  <si>
    <t>9.2.4.9 Link Purpose (Link Only)</t>
  </si>
  <si>
    <t>9.2.4.10 Section Headings</t>
  </si>
  <si>
    <t>9.2.4.12 Focus Not Obscured (Enhanced)</t>
  </si>
  <si>
    <t>9.2.4.13 Focus Appearance</t>
  </si>
  <si>
    <t>9.2.5.5 Target Size (Enhanced)</t>
  </si>
  <si>
    <t>9.2.5.6 Concurrent Input Mechanisms</t>
  </si>
  <si>
    <t>9.3.1.3 Unusual Words</t>
  </si>
  <si>
    <t>9.3.1.4 Abbreviations</t>
  </si>
  <si>
    <t>9.3.1.5 Reading Level</t>
  </si>
  <si>
    <t>9.3.1.6 Pronunciation</t>
  </si>
  <si>
    <t>9.3.2.5 Change on Request</t>
  </si>
  <si>
    <t>9.3.3.5 Help</t>
  </si>
  <si>
    <t>9.3.3.6 Error Prevention (All)</t>
  </si>
  <si>
    <t>8.3.9.2 Obstructed side reach (no design constraints)</t>
  </si>
  <si>
    <t>8.3.9.3 Obstructed side reach (with design constraints)</t>
  </si>
  <si>
    <t>9.3.3.9 Accessible Authentication (Enhanced)</t>
  </si>
  <si>
    <t>Kommentare zur deutschen Fassung</t>
  </si>
  <si>
    <t>10.1.1.1 Non-text content</t>
  </si>
  <si>
    <t>10.1.2.1 Audio-only and video-only (pre-recorded)</t>
  </si>
  <si>
    <t>10.1.2.2 Subtitles (pre-recorded)</t>
  </si>
  <si>
    <t>10.1.2.3 Audio description or media alternative (pre-recorded)</t>
  </si>
  <si>
    <t>10.1.2.4 Subtitles (live)</t>
  </si>
  <si>
    <t>Nicht in WAD</t>
  </si>
  <si>
    <t>10.1.2.5 Audio description (pre-recorded)</t>
  </si>
  <si>
    <t>10.1.2.6 Sign Language (Prerecorded)</t>
  </si>
  <si>
    <t>10.1.2.7 Extended Audio Description (Prerecorded)</t>
  </si>
  <si>
    <t>10.1.2.8 Media Alternative (Prerecorded)</t>
  </si>
  <si>
    <t>10.1.2.9 Audio-only (Live)</t>
  </si>
  <si>
    <t>10.1.3.1 Info and relationships</t>
  </si>
  <si>
    <t>10.1.3.2 Meaningful sequence</t>
  </si>
  <si>
    <t>10.1.3.3 Sensory characteristics</t>
  </si>
  <si>
    <t>10.1.3.4 Orientation</t>
  </si>
  <si>
    <t>10.1.3.5 Identify input purpose</t>
  </si>
  <si>
    <t>10.1.3.6 Identify Purpose</t>
  </si>
  <si>
    <t>10.1.4.1 Use of colour</t>
  </si>
  <si>
    <t>10.1.4.2 Audio control</t>
  </si>
  <si>
    <t>10.1.4.3 Contrast (minimum)</t>
  </si>
  <si>
    <t>10.1.4.4 Resize text</t>
  </si>
  <si>
    <t>10.1.4.5 Images of text</t>
  </si>
  <si>
    <t>10.1.4.6 Contrast (Enhanced)</t>
  </si>
  <si>
    <t>10.1.4.7 Low or No Background Audio</t>
  </si>
  <si>
    <t>10.1.4.8 Visual Presentation</t>
  </si>
  <si>
    <t>10.1.4.9 Images of Text (No Exception)</t>
  </si>
  <si>
    <t>10.1.4.10 Reflow</t>
  </si>
  <si>
    <t>10.1.4.11 Non-text contrast</t>
  </si>
  <si>
    <t>10.1.4.12 Text spacing</t>
  </si>
  <si>
    <t>10.1.4.13 Content on hover or focus</t>
  </si>
  <si>
    <t>10.2.1.1 Keyboard</t>
  </si>
  <si>
    <t>10.2.1.2 No keyboard trap</t>
  </si>
  <si>
    <t>10.2.1.3 Keyboard (No Exception)</t>
  </si>
  <si>
    <t>10.2.1.4 Character key shortcuts</t>
  </si>
  <si>
    <t>10.2.2.1 Timing adjustable</t>
  </si>
  <si>
    <t>10.2.2.2 Pause, stop, hide</t>
  </si>
  <si>
    <t>10.2.2.3 No Timing</t>
  </si>
  <si>
    <t>10.2.2.4 Interruptions</t>
  </si>
  <si>
    <t>10.2.2.5 Re-authenticating</t>
  </si>
  <si>
    <t>10.2.2.6 Timeouts</t>
  </si>
  <si>
    <t>10.2.3.1 Three flashes or below threshold</t>
  </si>
  <si>
    <t>10.2.3.2 Three Flashes</t>
  </si>
  <si>
    <t>10.2.3.3 Animation from Interactions</t>
  </si>
  <si>
    <t>10.2.4.2 Non-web document titled</t>
  </si>
  <si>
    <t>10.2.4.3 Focus order</t>
  </si>
  <si>
    <t>10.2.4.4 Link purpose (in context)</t>
  </si>
  <si>
    <t>10.2.4.6 Headings and labels</t>
  </si>
  <si>
    <t>10.2.4.7 Focus visible</t>
  </si>
  <si>
    <t>10.2.4.8 Location</t>
  </si>
  <si>
    <t>10.2.4.9 Link Purpose (Link Only)</t>
  </si>
  <si>
    <t>10.2.4.10 Section Headings</t>
  </si>
  <si>
    <t>10.2.4.11 Focus not obscured (minimum)</t>
  </si>
  <si>
    <t>neu in WCAG 2.2</t>
  </si>
  <si>
    <t>10.2.4.12 Focus Not Obscured (Enhanced)</t>
  </si>
  <si>
    <t>10.2.4.13 Focus Appearance</t>
  </si>
  <si>
    <t>10.2.5.1 Pointer gestures</t>
  </si>
  <si>
    <t>10.2.5.2 Pointer cancellation</t>
  </si>
  <si>
    <t>10.2.5.3 Label in name</t>
  </si>
  <si>
    <t>10.2.5.4 Motion actuation</t>
  </si>
  <si>
    <t>10.2.5.5 Target Size (Enhanced)</t>
  </si>
  <si>
    <t>10.2.5.6 Concurrent Input Mechanisms</t>
  </si>
  <si>
    <t>10.2.5.7 Dragging movements</t>
  </si>
  <si>
    <t>10.2.5.8 Target size (minimum)</t>
  </si>
  <si>
    <t>10.3.1.1 Language of non-web document</t>
  </si>
  <si>
    <t>10.3.1.2 Language of parts</t>
  </si>
  <si>
    <t>10.3.1.3 Unusual Words</t>
  </si>
  <si>
    <t>10.3.1.4 Abbreviations</t>
  </si>
  <si>
    <t>10.3.1.5 Reading Level</t>
  </si>
  <si>
    <t>10.3.1.6 Pronunciation</t>
  </si>
  <si>
    <t>10.3.2.1 On focus</t>
  </si>
  <si>
    <t>10.3.2.2 On input</t>
  </si>
  <si>
    <t>10.3.2.3 Consistent navigation</t>
  </si>
  <si>
    <t>war in v3.2.1 void</t>
  </si>
  <si>
    <t>10.3.2.4 Consistent identification</t>
  </si>
  <si>
    <t>10.3.2.5 Change on Request</t>
  </si>
  <si>
    <t>10.3.2.6 Consistent help</t>
  </si>
  <si>
    <t>10.3.3.1 Error identification</t>
  </si>
  <si>
    <t>10.3.3.2 Labels or instructions</t>
  </si>
  <si>
    <t>10.3.3.3 Error suggestion</t>
  </si>
  <si>
    <t>10.3.3.4 Error prevention (legal, financial, data)</t>
  </si>
  <si>
    <t>10.3.3.5 Help</t>
  </si>
  <si>
    <t>10.3.3.6 Error Prevention (All)</t>
  </si>
  <si>
    <t>10.3.3.7 Redundant entry</t>
  </si>
  <si>
    <t>10.3.3.8 Accessible authentication (minimum)</t>
  </si>
  <si>
    <t>10.3.3.9 Accessible Authentication (Enhanced)</t>
  </si>
  <si>
    <t>10.4.1.2 Name, role, value</t>
  </si>
  <si>
    <t>10.4.1.3 Status messages</t>
  </si>
  <si>
    <t>10.5 Subtitle positioning (recommendation)</t>
  </si>
  <si>
    <t>10.5 Positionierung von Untertiteln</t>
  </si>
  <si>
    <t>10.6 Audio description timing (recommendation)</t>
  </si>
  <si>
    <t>10.6 Zeiteinteilung für die Audiodeskription</t>
  </si>
  <si>
    <t>10.7 User preferences for non-web documents</t>
  </si>
  <si>
    <t>neu in EN v4.1.0</t>
  </si>
  <si>
    <t>(4) Nicht-visuelle Interaktion unterstützen</t>
  </si>
  <si>
    <t>Relates to 9.3.1.1 &amp; 9.3.1.2</t>
  </si>
  <si>
    <t>SR functionality for closed system</t>
  </si>
  <si>
    <t>AD, relates to 9.1.2.3</t>
  </si>
  <si>
    <t>SR functionality for closed system, relates to 9.3.3.1</t>
  </si>
  <si>
    <t>Relates to 9.2.1.1</t>
  </si>
  <si>
    <t>Relates to 9.2.1.2</t>
  </si>
  <si>
    <t>Was 11.1.3.5.2</t>
  </si>
  <si>
    <t>Allows: touchscreen edges, corners, or tactile markings on a screen frame</t>
  </si>
  <si>
    <t>WAS 11.8.1</t>
  </si>
  <si>
    <t>WAS 11.8.2</t>
  </si>
  <si>
    <t>WAS 11.8.3</t>
  </si>
  <si>
    <t>WAS 11.8.4</t>
  </si>
  <si>
    <t>WAS 11.85</t>
  </si>
  <si>
    <t>(3) Bedienung durch Tastatur und Tasten unterstützen</t>
  </si>
  <si>
    <t>(14) Auffindbarkeit, Zugang, Feedbackmöglichkeit, Datenschutz</t>
  </si>
  <si>
    <t>(13) Ausmaße, Abstände &amp; Kraftaufwand im physischen Raum</t>
  </si>
  <si>
    <t>10.1.2.2 Captions (pre-recorded)</t>
  </si>
  <si>
    <t>10.1.2.4 Captions (live)</t>
  </si>
  <si>
    <t>10.2.4.2 Document titled</t>
  </si>
  <si>
    <t>10.3.1.1 Language of document</t>
  </si>
  <si>
    <t>10.4.1.1 Parsing</t>
  </si>
  <si>
    <t>10.4.1.1 Void</t>
  </si>
  <si>
    <t>10.4.1.1 Syntaxanalyse</t>
  </si>
  <si>
    <t>10.1.3.6 Komponenten vermitteln den Zweck</t>
  </si>
  <si>
    <t xml:space="preserve">10.1.4.6 Kontraste von Texten ausreichend (erweitert) </t>
  </si>
  <si>
    <t>10.1.4.7 Leises oder kein Hintergrund-Audio</t>
  </si>
  <si>
    <t>10.1.4.8 Visuelle Darstellung</t>
  </si>
  <si>
    <t xml:space="preserve">10.1.4.9 Verzicht auf Schriftgrafiken (keine Ausnahme) </t>
  </si>
  <si>
    <t>10.2.1.3 Ohne Maus nutzbar (keine Ausnahme)</t>
  </si>
  <si>
    <t>10.2.2.3 Keine Zeitbegrenzungen</t>
  </si>
  <si>
    <t>10.2.2.4 Unterbrechungen</t>
  </si>
  <si>
    <t>10.2.2.5 Erneute Authentifizierung</t>
  </si>
  <si>
    <t>10.2.2.6 Zeitüberschreitung</t>
  </si>
  <si>
    <t>10.2.3.2 Drei Blitze</t>
  </si>
  <si>
    <t>10.2.3.3 Animation durch Interaktionen</t>
  </si>
  <si>
    <t>10.2.4.9 Aussagekräftige Linktexte (ohne Kontext)</t>
  </si>
  <si>
    <t>10.2.4.10 Abschnittsüberschriften</t>
  </si>
  <si>
    <t>10.2.5.5 Zielgröße</t>
  </si>
  <si>
    <t>10.2.5.6 Gleichzeitige Eingabemechanismen</t>
  </si>
  <si>
    <t>10.3.1.3 Ungewöhnliche Wörter</t>
  </si>
  <si>
    <t>10.3.1.4 Abkürzungen</t>
  </si>
  <si>
    <t>10.3.1.5 Leseniveau</t>
  </si>
  <si>
    <t>10.3.1.6 Aussprache</t>
  </si>
  <si>
    <t>10.3.2.5 Änderung auf Anfrage</t>
  </si>
  <si>
    <t>10.3.3.5 Hilfe</t>
  </si>
  <si>
    <t>10.3.3.6 Fehlervermeidung wird unterstützt (alles)</t>
  </si>
  <si>
    <t>10.1.2.4 Untertitel für Live-Videos</t>
  </si>
  <si>
    <t>10.1.2.5 Audiodeskription für Videos</t>
  </si>
  <si>
    <t>10.1.3.4 Keine Beschränkung der Bildschirmausrichtung</t>
  </si>
  <si>
    <t>10.1.3.5 Eingabefelder zu Nutzerdaten vermitteln den Zweck</t>
  </si>
  <si>
    <t xml:space="preserve">10.1.4.3 Kontraste von Texten ausreichend (minimal) </t>
  </si>
  <si>
    <t>10.1.4.4 Text auf 200% vergrößerbar</t>
  </si>
  <si>
    <t>10.1.4.5 Verzicht auf Schriftgrafiken</t>
  </si>
  <si>
    <t xml:space="preserve">10.1.4.10 Inhalte brechen um </t>
  </si>
  <si>
    <t>10.1.4.11 Kontraste von Grafiken und grafischen Bedienelementen ausreichend</t>
  </si>
  <si>
    <t>10.1.4.12 Textabstände anpassbar</t>
  </si>
  <si>
    <t>10.1.4.13 Eingeblendete Inhalte bedienbar</t>
  </si>
  <si>
    <t>10.2.4.6 Aussagekräftige Überschriften und Beschriftungen</t>
  </si>
  <si>
    <t>10.2.4.7 Aktuelle Position des Fokus deutlich</t>
  </si>
  <si>
    <t>10.3.1.2 Anderssprachige Wörter und Abschnitte ausgezeichnet</t>
  </si>
  <si>
    <t>10.3.3.3 Hilfe bei Fehlern</t>
  </si>
  <si>
    <t>10.3.3.4 Fehlervermeidung wird unterstützt (rechtlich, finanziell, Benutzerdaten)</t>
  </si>
  <si>
    <t>10.4.1.3 Statusmeldungen</t>
  </si>
  <si>
    <t>10.1.1.1 Nicht-Text-Inhalt</t>
  </si>
  <si>
    <t>10.1.2.1 Alternativen für Audiodateien und stumme Videos</t>
  </si>
  <si>
    <t>10.1.2.2 Aufgezeichnete Videos mit Untertiteln</t>
  </si>
  <si>
    <t>10.1.2.3 Audiodeskription oder Volltext-Alternative für Videos</t>
  </si>
  <si>
    <t>10.1.3.2 Sinnvolle Reihenfolge</t>
  </si>
  <si>
    <t>10.1.3.3 Ohne Bezug auf sensorische Merkmale nutzbar</t>
  </si>
  <si>
    <t>10.1.4.1 Ohne Farben nutzbar</t>
  </si>
  <si>
    <t>10.1.4.2 Ton abschaltbar</t>
  </si>
  <si>
    <t>10.2.1.1 Ohne Maus nutzbar</t>
  </si>
  <si>
    <t>10.2.1.2 Keine Tastaturfalle</t>
  </si>
  <si>
    <t>10.2.1.4 Tastatur-Kurzbefehle abschaltbar oder anpassbar</t>
  </si>
  <si>
    <t>10.2.2.1 Zeitbegrenzungen anpassbar</t>
  </si>
  <si>
    <t>10.2.2.2 Bewegte Inhalte abschaltbar</t>
  </si>
  <si>
    <t>10.2.3.1 Grenzwert von dreimaligem Blitzen oder weniger</t>
  </si>
  <si>
    <t>10.2.4.2 Sinnvolle Dokumenttitel</t>
  </si>
  <si>
    <t>10.2.4.3 Schlüssige Reihenfolge bei der Tastaturbedienung</t>
  </si>
  <si>
    <t>10.2.4.4 Aussagekräftige Linktexte (im Kontext)</t>
  </si>
  <si>
    <t>10.2.5.1 Alternativen für komplexe Zeiger-Gesten</t>
  </si>
  <si>
    <t>10.2.5.2 Zeigergesten-Eingaben können abgebrochen oder widerrufen werden</t>
  </si>
  <si>
    <t>10.2.5.3 Sichtbare Beschriftung Teil des zugänglichen Namens</t>
  </si>
  <si>
    <t>10.3.1.1 Hauptsprache angegeben</t>
  </si>
  <si>
    <t>10.3.2.1 Keine unerwartete Kontextänderung bei Fokus</t>
  </si>
  <si>
    <t>10.3.2.2 Keine unerwartete Kontextänderung bei Eingabe</t>
  </si>
  <si>
    <t>10.3.3.1 Fehlerkennzeichnung</t>
  </si>
  <si>
    <t>10.3.3.2 Beschriftungen von Formularelementen vorhanden</t>
  </si>
  <si>
    <t>10.4.1.2 Name, Rolle, Wert verfügbar</t>
  </si>
  <si>
    <t>weg</t>
  </si>
  <si>
    <t>10.2.5.7 Ziehbewegungen (Vorschlag GZ)</t>
  </si>
  <si>
    <t>10.2.5.8 Zielgröße (minimum) (Vorschlag GZ)</t>
  </si>
  <si>
    <t>10.3.2.3 Konsistente Navigation (Vorschlag GZ)</t>
  </si>
  <si>
    <t>10.3.2.4 Konsistente Identifikation (Vorschlag GZ)</t>
  </si>
  <si>
    <t>10.3.2.6 Konsistente Hilfe (Vorschlag GZ)</t>
  </si>
  <si>
    <t>10.3.3.7 Redundante Eingabe (Vorschlag GZ)</t>
  </si>
  <si>
    <t>10.3.3.8 Zugängliche Authentifizierung (minimum) (Vorschlag GZ)</t>
  </si>
  <si>
    <t>10.7 Benutzerpräferenzen für Dokumente (Vorschlag GZ)</t>
  </si>
  <si>
    <t>10.2.4.8 Position erkennbar (Vorschlag GZ)</t>
  </si>
  <si>
    <t>10.2.4.11 Fokus nicht verdeckt (minimal) (Vorschlag GZ)</t>
  </si>
  <si>
    <t>10.2.4.11 Fokus nicht verdeckt (erweitert) (Vorschlag GZ)</t>
  </si>
  <si>
    <t>10.2.4.13 Fokusindikator (Vorschlag GZ)</t>
  </si>
  <si>
    <t>10.2.5.4 Betätigung durch Bewegung</t>
  </si>
  <si>
    <t>WAD relevance for Web content &amp; docs (Table ZA.1)</t>
  </si>
  <si>
    <t>10.1.3.1 Info und Beziehungen (Überschriften)</t>
  </si>
  <si>
    <t>WAD relevance for mobile apps &amp; docs (Table ZA.2)</t>
  </si>
  <si>
    <t>5.10.1 Content technology</t>
  </si>
  <si>
    <t xml:space="preserve">5.10.2 Accessible content creation </t>
  </si>
  <si>
    <t>5.10.3 Preservation of accessibility information in transformations</t>
  </si>
  <si>
    <t>5.10.4 Repair assistance</t>
  </si>
  <si>
    <t>5.10.5 Templates</t>
  </si>
  <si>
    <t>Jetzt: 13.1.1 General (informative)</t>
  </si>
  <si>
    <t>(12) Barrierefreiheitsfunktionen unterstützen (Plattform &amp; Standards)</t>
  </si>
  <si>
    <t>11.1.2.6 Sign Language (Prerecorded)</t>
  </si>
  <si>
    <t>11.1.2.7 Extended Audio Description (Prerecorded)</t>
  </si>
  <si>
    <t>11.1.2.8 Media Alternative (Prerecorded)</t>
  </si>
  <si>
    <t>11.1.2.9 Audio-only (Live)</t>
  </si>
  <si>
    <t>11.1.3.6 Identify Purpose</t>
  </si>
  <si>
    <t>11.1.4.6 Contrast (Enhanced)</t>
  </si>
  <si>
    <t>11.1.4.7 Low or No Background Audio</t>
  </si>
  <si>
    <t>11.1.4.8 Visual Presentation</t>
  </si>
  <si>
    <t>11.1.4.9 Images of Text (No Exception)</t>
  </si>
  <si>
    <t>11.2.1.3 Keyboard (No Exception)</t>
  </si>
  <si>
    <t>11.2.2.3 No Timing</t>
  </si>
  <si>
    <t>11.2.2.4 Interruptions</t>
  </si>
  <si>
    <t>11.2.2.5 Re-authenticating</t>
  </si>
  <si>
    <t>11.2.2.6 Timeouts</t>
  </si>
  <si>
    <t>11.2.3.2 Three Flashes</t>
  </si>
  <si>
    <t>11.2.3.3 Animation from Interactions</t>
  </si>
  <si>
    <t>11.2.4.8 Location</t>
  </si>
  <si>
    <t>11.2.4.9 Link Purpose (Link Only)</t>
  </si>
  <si>
    <t>11.2.4.10 Section Headings</t>
  </si>
  <si>
    <t>11.2.4.12 Focus Not Obscured (Enhanced)</t>
  </si>
  <si>
    <t>11.2.4.13 Focus Appearance</t>
  </si>
  <si>
    <t>11.2.5.5 Target Size (Enhanced)</t>
  </si>
  <si>
    <t>11.2.5.6 Concurrent Input Mechanisms</t>
  </si>
  <si>
    <t>11.3.1.3 Unusual Words</t>
  </si>
  <si>
    <t>11.3.1.4 Abbreviations</t>
  </si>
  <si>
    <t>11.3.1.5 Reading Level</t>
  </si>
  <si>
    <t>11.3.1.6 Pronunciation</t>
  </si>
  <si>
    <t>11.3.2.5 Change on Request</t>
  </si>
  <si>
    <t>11.3.2.6 Consistent help</t>
  </si>
  <si>
    <t>11.3.3.5 Help</t>
  </si>
  <si>
    <t>11.3.3.6 Error Prevention (All)</t>
  </si>
  <si>
    <t>11.3.3.9 Accessible Authentication (Enhanced)</t>
  </si>
  <si>
    <t>Summe für:</t>
  </si>
  <si>
    <t>Summe für leer:</t>
  </si>
  <si>
    <t>Relevanz für Unterstützungsdienste nach EAA (Tabelle ZB.2)</t>
  </si>
  <si>
    <t>SBTs nach eigenem Gutdünken</t>
  </si>
  <si>
    <t/>
  </si>
  <si>
    <t>Relevanz für Services nach EAA (Tabellen in ZB.5)</t>
  </si>
  <si>
    <t>Relevanz für STBs nach EAA (Tabellen in ZB.2 &amp; ZB.3)</t>
  </si>
  <si>
    <t>Relevanz für eBook-Reader nach EAA (Tabellen in ZB.2 &amp; ZB.3)</t>
  </si>
  <si>
    <t>Relevanz für interaktive Kommunikationsterminals nach EAA (Tabellen in ZB.2 &amp; ZB.3)</t>
  </si>
  <si>
    <t>Relevanz für interaktive Audio-Video-Terminals nach EAA (Tabellen in ZB.2 &amp; ZB.3)</t>
  </si>
  <si>
    <t xml:space="preserve"> --&gt; 8.3.5 &amp; 8.3.6, 8.3.9.1 Unobstructed forward reach (informative)</t>
  </si>
  <si>
    <t xml:space="preserve"> --&gt; 8.3.5 &amp; 8.3.6, 8.3.9.1 Unobstructed side reach (informative)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</si>
</sst>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2"/>
      <name val="Calibri"/>
      <scheme val="minor"/>
    </font>
    <font>
      <sz val="11"/>
      <name val="Calibri"/>
      <scheme val="minor"/>
    </font>
    <font>
      <i/>
      <sz val="11"/>
      <name val="Calibri"/>
      <scheme val="minor"/>
    </font>
    <font>
      <sz val="11"/>
      <color theme="7" tint="-0.499984740745262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A665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11"/>
      <color theme="9" tint="-0.249977111117893"/>
      <name val="Calibri"/>
      <family val="2"/>
      <scheme val="minor"/>
    </font>
    <font>
      <b/>
      <sz val="9"/>
      <color indexed="81"/>
      <name val="Segoe UI"/>
      <charset val="1"/>
    </font>
    <font>
      <i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indexed="2"/>
      <name val="Calibri"/>
      <family val="2"/>
      <scheme val="minor"/>
    </font>
    <font>
      <i/>
      <sz val="11"/>
      <color theme="7" tint="-0.499984740745262"/>
      <name val="Calibri"/>
      <family val="2"/>
      <scheme val="minor"/>
    </font>
    <font>
      <sz val="11"/>
      <color indexed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C000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/>
    <xf numFmtId="0" fontId="0" fillId="0" borderId="2" xfId="0" applyBorder="1" applyAlignment="1">
      <alignment horizontal="center" textRotation="90" wrapText="1"/>
    </xf>
    <xf numFmtId="0" fontId="12" fillId="0" borderId="0" xfId="0" applyFont="1" applyAlignment="1">
      <alignment horizontal="center" textRotation="90" wrapText="1"/>
    </xf>
    <xf numFmtId="0" fontId="11" fillId="0" borderId="1" xfId="0" applyFont="1" applyBorder="1" applyAlignment="1">
      <alignment horizontal="center" textRotation="90" wrapText="1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1" fillId="0" borderId="0" xfId="0" applyFont="1"/>
    <xf numFmtId="0" fontId="15" fillId="0" borderId="2" xfId="0" applyFont="1" applyBorder="1"/>
    <xf numFmtId="0" fontId="18" fillId="0" borderId="0" xfId="0" applyFont="1"/>
    <xf numFmtId="0" fontId="19" fillId="0" borderId="2" xfId="0" applyFont="1" applyBorder="1"/>
    <xf numFmtId="0" fontId="9" fillId="0" borderId="1" xfId="0" applyFont="1" applyBorder="1"/>
    <xf numFmtId="0" fontId="14" fillId="0" borderId="0" xfId="1"/>
    <xf numFmtId="0" fontId="20" fillId="0" borderId="0" xfId="1" applyFont="1"/>
    <xf numFmtId="0" fontId="8" fillId="0" borderId="0" xfId="1" applyFont="1"/>
    <xf numFmtId="0" fontId="21" fillId="0" borderId="0" xfId="0" applyFont="1"/>
    <xf numFmtId="0" fontId="22" fillId="0" borderId="0" xfId="1" applyFont="1"/>
    <xf numFmtId="0" fontId="23" fillId="0" borderId="0" xfId="0" applyFont="1"/>
    <xf numFmtId="0" fontId="23" fillId="0" borderId="0" xfId="1" applyFont="1"/>
    <xf numFmtId="0" fontId="24" fillId="0" borderId="0" xfId="1" applyFont="1"/>
    <xf numFmtId="0" fontId="7" fillId="0" borderId="0" xfId="1" applyFont="1"/>
    <xf numFmtId="0" fontId="24" fillId="0" borderId="0" xfId="0" applyFont="1"/>
    <xf numFmtId="0" fontId="18" fillId="0" borderId="0" xfId="1" applyFont="1"/>
    <xf numFmtId="0" fontId="26" fillId="0" borderId="0" xfId="1" applyFont="1"/>
    <xf numFmtId="0" fontId="15" fillId="0" borderId="2" xfId="0" applyFont="1" applyBorder="1" applyAlignment="1">
      <alignment wrapText="1"/>
    </xf>
    <xf numFmtId="0" fontId="28" fillId="0" borderId="0" xfId="1" applyFont="1"/>
    <xf numFmtId="0" fontId="20" fillId="0" borderId="0" xfId="0" applyFont="1"/>
    <xf numFmtId="0" fontId="6" fillId="0" borderId="0" xfId="1" applyFont="1"/>
    <xf numFmtId="0" fontId="30" fillId="0" borderId="0" xfId="0" applyFont="1"/>
    <xf numFmtId="0" fontId="28" fillId="0" borderId="0" xfId="0" applyFont="1"/>
    <xf numFmtId="0" fontId="31" fillId="0" borderId="0" xfId="0" applyFont="1"/>
    <xf numFmtId="0" fontId="32" fillId="0" borderId="0" xfId="0" applyFont="1"/>
    <xf numFmtId="0" fontId="6" fillId="0" borderId="1" xfId="0" applyFont="1" applyBorder="1"/>
    <xf numFmtId="0" fontId="6" fillId="0" borderId="3" xfId="0" applyFont="1" applyBorder="1" applyAlignment="1">
      <alignment horizontal="center" textRotation="90" wrapText="1"/>
    </xf>
    <xf numFmtId="0" fontId="9" fillId="0" borderId="0" xfId="0" applyFont="1"/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5" fillId="0" borderId="0" xfId="2"/>
    <xf numFmtId="0" fontId="34" fillId="0" borderId="0" xfId="2" applyFont="1" applyAlignment="1">
      <alignment horizontal="center" wrapText="1"/>
    </xf>
    <xf numFmtId="0" fontId="5" fillId="0" borderId="0" xfId="2" applyAlignment="1">
      <alignment wrapText="1"/>
    </xf>
    <xf numFmtId="0" fontId="15" fillId="0" borderId="0" xfId="2" applyFont="1"/>
    <xf numFmtId="0" fontId="5" fillId="0" borderId="2" xfId="0" applyFont="1" applyBorder="1" applyAlignment="1">
      <alignment horizontal="center" textRotation="90" wrapText="1"/>
    </xf>
    <xf numFmtId="0" fontId="33" fillId="0" borderId="0" xfId="1" applyFont="1"/>
    <xf numFmtId="0" fontId="33" fillId="0" borderId="0" xfId="0" applyFont="1"/>
    <xf numFmtId="0" fontId="19" fillId="0" borderId="2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4" fillId="3" borderId="0" xfId="1" applyFill="1"/>
    <xf numFmtId="0" fontId="0" fillId="4" borderId="0" xfId="0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1" applyFont="1"/>
    <xf numFmtId="0" fontId="36" fillId="0" borderId="2" xfId="0" applyFont="1" applyBorder="1" applyAlignment="1">
      <alignment horizontal="center" textRotation="90" wrapText="1"/>
    </xf>
    <xf numFmtId="0" fontId="36" fillId="0" borderId="3" xfId="0" applyFont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/>
    </xf>
    <xf numFmtId="0" fontId="20" fillId="0" borderId="2" xfId="0" applyFont="1" applyBorder="1" applyAlignment="1">
      <alignment horizontal="center" textRotation="90" wrapText="1"/>
    </xf>
    <xf numFmtId="0" fontId="4" fillId="3" borderId="0" xfId="1" applyFont="1" applyFill="1"/>
    <xf numFmtId="0" fontId="11" fillId="0" borderId="1" xfId="0" applyFont="1" applyBorder="1" applyAlignment="1">
      <alignment horizontal="center"/>
    </xf>
    <xf numFmtId="0" fontId="18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textRotation="90" wrapText="1"/>
    </xf>
    <xf numFmtId="0" fontId="3" fillId="0" borderId="0" xfId="0" applyFont="1" applyAlignment="1">
      <alignment horizontal="left" vertical="center"/>
    </xf>
    <xf numFmtId="0" fontId="18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3" fillId="2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6" fillId="2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2" borderId="1" xfId="0" applyFill="1" applyBorder="1" applyAlignment="1">
      <alignment horizontal="center"/>
    </xf>
    <xf numFmtId="0" fontId="1" fillId="0" borderId="3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0" xfId="0" applyFont="1"/>
    <xf numFmtId="0" fontId="0" fillId="0" borderId="4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7" xfId="0" applyBorder="1"/>
    <xf numFmtId="0" fontId="18" fillId="0" borderId="7" xfId="0" applyFont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4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Standard" xfId="0" builtinId="0"/>
    <cellStyle name="Standard 2" xfId="1" xr:uid="{00000000-0005-0000-0000-000004000000}"/>
    <cellStyle name="Standard 3" xfId="2" xr:uid="{97590106-908F-4938-BD6A-6063DFB7B4CE}"/>
  </cellStyles>
  <dxfs count="5">
    <dxf>
      <font>
        <strike val="0"/>
        <color auto="1"/>
      </font>
      <fill>
        <patternFill>
          <bgColor theme="9" tint="0.59996337778862885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Invisible" pivot="0" table="0" count="0" xr9:uid="{6DAF2B51-7048-4F5B-A89F-E28B008B78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ttfried Zimmermann" id="{361B2217-90A2-5B32-9A78-9498FF715214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5" personId="{361B2217-90A2-5B32-9A78-9498FF715214}" id="{DB990AB7-9399-42D5-A9B8-F2280599FC7F}">
    <text xml:space="preserve">Fehlt in BIK BITV
</text>
  </threadedComment>
  <threadedComment ref="B76" personId="{361B2217-90A2-5B32-9A78-9498FF715214}" id="{F78DF2BB-24A7-42ED-A54C-5D9913C3148D}">
    <text xml:space="preserve">Fehlt in BIK BITV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11C1-6F7F-4943-8526-3637CE242FC8}">
  <dimension ref="A1:A4"/>
  <sheetViews>
    <sheetView workbookViewId="0">
      <selection activeCell="A3" sqref="A3"/>
    </sheetView>
  </sheetViews>
  <sheetFormatPr baseColWidth="10" defaultColWidth="11.46484375" defaultRowHeight="14.25" x14ac:dyDescent="0.45"/>
  <cols>
    <col min="1" max="1" width="66" style="41" customWidth="1"/>
    <col min="2" max="16384" width="11.46484375" style="41"/>
  </cols>
  <sheetData>
    <row r="1" spans="1:1" x14ac:dyDescent="0.45">
      <c r="A1" s="44" t="s">
        <v>231</v>
      </c>
    </row>
    <row r="2" spans="1:1" ht="42.75" x14ac:dyDescent="0.45">
      <c r="A2" s="43" t="s">
        <v>452</v>
      </c>
    </row>
    <row r="4" spans="1:1" ht="28.5" x14ac:dyDescent="0.45">
      <c r="A4" s="42" t="s">
        <v>372</v>
      </c>
    </row>
  </sheetData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F91F-9CCE-4A6C-8D63-17223F279B13}">
  <dimension ref="A1:AH459"/>
  <sheetViews>
    <sheetView tabSelected="1" topLeftCell="C1" zoomScaleNormal="100" workbookViewId="0">
      <pane ySplit="1" topLeftCell="A302" activePane="bottomLeft" state="frozen"/>
      <selection pane="bottomLeft" activeCell="K302" sqref="K302"/>
    </sheetView>
  </sheetViews>
  <sheetFormatPr baseColWidth="10" defaultColWidth="11.46484375" defaultRowHeight="14.25" x14ac:dyDescent="0.45"/>
  <cols>
    <col min="1" max="1" width="27.53125" customWidth="1"/>
    <col min="2" max="2" width="35.9296875" style="13" hidden="1" customWidth="1"/>
    <col min="3" max="3" width="36.73046875" customWidth="1"/>
    <col min="4" max="4" width="9.796875" customWidth="1"/>
    <col min="5" max="5" width="8.59765625" customWidth="1"/>
    <col min="6" max="6" width="24.73046875" style="13" customWidth="1"/>
    <col min="7" max="7" width="8.33203125" style="13" customWidth="1"/>
    <col min="8" max="8" width="7" customWidth="1"/>
    <col min="9" max="9" width="6.3984375" customWidth="1"/>
    <col min="10" max="17" width="6.3984375" style="1" customWidth="1"/>
    <col min="18" max="18" width="6.3984375" style="74" customWidth="1"/>
    <col min="19" max="32" width="5.86328125" style="1" customWidth="1"/>
    <col min="33" max="33" width="6.796875" style="2" customWidth="1"/>
    <col min="34" max="34" width="7.06640625" style="3" customWidth="1"/>
    <col min="35" max="42" width="6.86328125" customWidth="1"/>
  </cols>
  <sheetData>
    <row r="1" spans="1:34" ht="185.65" customHeight="1" x14ac:dyDescent="0.45">
      <c r="A1" s="12" t="s">
        <v>233</v>
      </c>
      <c r="B1" s="14" t="s">
        <v>234</v>
      </c>
      <c r="C1" s="28" t="s">
        <v>371</v>
      </c>
      <c r="D1" s="28" t="s">
        <v>407</v>
      </c>
      <c r="E1" s="28" t="s">
        <v>451</v>
      </c>
      <c r="F1" s="14" t="s">
        <v>232</v>
      </c>
      <c r="G1" s="48" t="s">
        <v>487</v>
      </c>
      <c r="H1" s="45" t="s">
        <v>453</v>
      </c>
      <c r="I1" s="37" t="s">
        <v>438</v>
      </c>
      <c r="J1" s="80" t="s">
        <v>685</v>
      </c>
      <c r="K1" s="80" t="s">
        <v>687</v>
      </c>
      <c r="L1" s="93" t="s">
        <v>733</v>
      </c>
      <c r="M1" s="93" t="s">
        <v>730</v>
      </c>
      <c r="N1" s="93" t="s">
        <v>734</v>
      </c>
      <c r="O1" s="93" t="s">
        <v>735</v>
      </c>
      <c r="P1" s="93" t="s">
        <v>736</v>
      </c>
      <c r="Q1" s="93" t="s">
        <v>729</v>
      </c>
      <c r="R1" s="92" t="s">
        <v>732</v>
      </c>
      <c r="S1" s="4" t="s">
        <v>0</v>
      </c>
      <c r="T1" s="4" t="s">
        <v>1</v>
      </c>
      <c r="U1" s="76" t="s">
        <v>595</v>
      </c>
      <c r="V1" s="76" t="s">
        <v>581</v>
      </c>
      <c r="W1" s="4" t="s">
        <v>2</v>
      </c>
      <c r="X1" s="4" t="s">
        <v>3</v>
      </c>
      <c r="Y1" s="4" t="s">
        <v>4</v>
      </c>
      <c r="Z1" s="4" t="s">
        <v>5</v>
      </c>
      <c r="AA1" s="4" t="s">
        <v>6</v>
      </c>
      <c r="AB1" s="4" t="s">
        <v>7</v>
      </c>
      <c r="AC1" s="4" t="s">
        <v>8</v>
      </c>
      <c r="AD1" s="76" t="s">
        <v>694</v>
      </c>
      <c r="AE1" s="72" t="s">
        <v>597</v>
      </c>
      <c r="AF1" s="73" t="s">
        <v>596</v>
      </c>
      <c r="AG1" s="5" t="s">
        <v>9</v>
      </c>
      <c r="AH1" s="6" t="s">
        <v>10</v>
      </c>
    </row>
    <row r="2" spans="1:34" x14ac:dyDescent="0.45">
      <c r="A2" s="16" t="s">
        <v>55</v>
      </c>
      <c r="C2" s="13" t="s">
        <v>55</v>
      </c>
      <c r="D2" s="13"/>
      <c r="E2" s="13" t="str">
        <f>IF(ISBLANK(A2),"neu",IF(ISBLANK(C2),"weg",IF(A2&lt;&gt;C2,"geändert","")))</f>
        <v/>
      </c>
      <c r="H2" s="38" t="s">
        <v>11</v>
      </c>
      <c r="I2" s="36" t="s">
        <v>54</v>
      </c>
      <c r="J2" s="113"/>
      <c r="K2" s="113">
        <v>1</v>
      </c>
      <c r="L2" s="1">
        <v>1</v>
      </c>
      <c r="M2" s="113">
        <v>1</v>
      </c>
      <c r="N2" s="1">
        <v>1</v>
      </c>
      <c r="O2" s="1">
        <v>1</v>
      </c>
      <c r="P2" s="1">
        <v>1</v>
      </c>
      <c r="R2" s="74">
        <v>1</v>
      </c>
      <c r="AE2" s="75"/>
      <c r="AF2" s="8"/>
      <c r="AG2" s="2" t="str">
        <f>IF(SUM(S2:AF2)&gt;0,SUM(S2:AF2),"")</f>
        <v/>
      </c>
      <c r="AH2" s="78" t="str">
        <f>IF(SUM(S2:AF2)&lt;1,"",S2*1+T2*2+U2*3+V2*4+W2*5+X2*6+Y2*7+Z2*8+AA2*9+AB2*10+AC2*11+AD2*12+AE2*13+AF2*14)</f>
        <v/>
      </c>
    </row>
    <row r="3" spans="1:34" x14ac:dyDescent="0.45">
      <c r="A3" s="16" t="s">
        <v>357</v>
      </c>
      <c r="C3" s="13" t="s">
        <v>385</v>
      </c>
      <c r="D3" s="13"/>
      <c r="E3" s="13" t="str">
        <f>IF(ISBLANK(A3),"neu",IF(ISBLANK(C3),"weg",IF(A3&lt;&gt;C3,"geändert","")))</f>
        <v>geändert</v>
      </c>
      <c r="H3" s="38" t="s">
        <v>11</v>
      </c>
      <c r="I3" s="36" t="s">
        <v>54</v>
      </c>
      <c r="J3" s="113"/>
      <c r="K3" s="113">
        <v>1</v>
      </c>
      <c r="L3" s="1">
        <v>1</v>
      </c>
      <c r="M3" s="113">
        <v>1</v>
      </c>
      <c r="N3" s="1">
        <v>1</v>
      </c>
      <c r="O3" s="1">
        <v>1</v>
      </c>
      <c r="P3" s="1">
        <v>1</v>
      </c>
      <c r="R3" s="74">
        <v>1</v>
      </c>
      <c r="AE3" s="75"/>
      <c r="AF3" s="8"/>
      <c r="AG3" s="2" t="str">
        <f t="shared" ref="AG3:AG65" si="0">IF(SUM(S3:AF3)&gt;0,SUM(S3:AF3),"")</f>
        <v/>
      </c>
      <c r="AH3" s="78" t="str">
        <f t="shared" ref="AH3:AH65" si="1">IF(SUM(S3:AF3)&lt;1,"",S3*1+T3*2+U3*3+V3*4+W3*5+X3*6+Y3*7+Z3*8+AA3*9+AB3*10+AC3*11+AD3*12+AE3*13+AF3*14)</f>
        <v/>
      </c>
    </row>
    <row r="4" spans="1:34" x14ac:dyDescent="0.45">
      <c r="A4" s="16" t="s">
        <v>358</v>
      </c>
      <c r="C4" s="13" t="s">
        <v>386</v>
      </c>
      <c r="D4" s="13" t="s">
        <v>583</v>
      </c>
      <c r="E4" s="13" t="str">
        <f>IF(ISBLANK(A4),"neu",IF(ISBLANK(C4),"weg",IF(A4&lt;&gt;C4,"geändert","")))</f>
        <v>geändert</v>
      </c>
      <c r="H4" s="38" t="s">
        <v>11</v>
      </c>
      <c r="I4" s="36" t="s">
        <v>54</v>
      </c>
      <c r="J4" s="113"/>
      <c r="K4" s="113">
        <v>1</v>
      </c>
      <c r="L4" s="1">
        <v>1</v>
      </c>
      <c r="M4" s="113">
        <v>1</v>
      </c>
      <c r="N4" s="1">
        <v>1</v>
      </c>
      <c r="O4" s="1">
        <v>1</v>
      </c>
      <c r="P4" s="1">
        <v>1</v>
      </c>
      <c r="R4" s="74">
        <v>1</v>
      </c>
      <c r="V4" s="69">
        <v>1</v>
      </c>
      <c r="AE4" s="75"/>
      <c r="AF4" s="8"/>
      <c r="AG4" s="2">
        <f t="shared" si="0"/>
        <v>1</v>
      </c>
      <c r="AH4" s="78">
        <f t="shared" si="1"/>
        <v>4</v>
      </c>
    </row>
    <row r="5" spans="1:34" x14ac:dyDescent="0.45">
      <c r="A5" s="16" t="s">
        <v>56</v>
      </c>
      <c r="C5" s="13" t="s">
        <v>56</v>
      </c>
      <c r="D5" s="13" t="s">
        <v>583</v>
      </c>
      <c r="E5" s="13" t="str">
        <f>IF(ISBLANK(A5),"neu",IF(ISBLANK(C5),"weg",IF(A5&lt;&gt;C5,"geändert","")))</f>
        <v/>
      </c>
      <c r="H5" s="38" t="s">
        <v>11</v>
      </c>
      <c r="I5" s="36" t="s">
        <v>54</v>
      </c>
      <c r="J5" s="113"/>
      <c r="K5" s="114">
        <v>1</v>
      </c>
      <c r="L5" s="1">
        <v>1</v>
      </c>
      <c r="M5" s="113">
        <v>1</v>
      </c>
      <c r="N5" s="1">
        <v>1</v>
      </c>
      <c r="O5" s="1">
        <v>1</v>
      </c>
      <c r="P5" s="1">
        <v>1</v>
      </c>
      <c r="R5" s="74">
        <v>1</v>
      </c>
      <c r="AD5" s="69">
        <v>1</v>
      </c>
      <c r="AE5" s="75"/>
      <c r="AF5" s="8"/>
      <c r="AG5" s="2">
        <f t="shared" si="0"/>
        <v>1</v>
      </c>
      <c r="AH5" s="78">
        <f t="shared" si="1"/>
        <v>12</v>
      </c>
    </row>
    <row r="6" spans="1:34" x14ac:dyDescent="0.45">
      <c r="A6" s="16" t="s">
        <v>57</v>
      </c>
      <c r="C6" s="13" t="s">
        <v>57</v>
      </c>
      <c r="D6" s="13" t="s">
        <v>583</v>
      </c>
      <c r="E6" s="13" t="str">
        <f>IF(ISBLANK(A6),"neu",IF(ISBLANK(C6),"weg",IF(A6&lt;&gt;C6,"geändert","")))</f>
        <v/>
      </c>
      <c r="H6" s="38" t="s">
        <v>11</v>
      </c>
      <c r="I6" s="36" t="s">
        <v>54</v>
      </c>
      <c r="J6" s="113"/>
      <c r="K6" s="114">
        <v>1</v>
      </c>
      <c r="L6" s="1">
        <v>1</v>
      </c>
      <c r="M6" s="113">
        <v>1</v>
      </c>
      <c r="N6" s="1">
        <v>1</v>
      </c>
      <c r="O6" s="1">
        <v>1</v>
      </c>
      <c r="P6" s="1">
        <v>1</v>
      </c>
      <c r="R6" s="74">
        <v>1</v>
      </c>
      <c r="V6" s="69">
        <v>1</v>
      </c>
      <c r="AE6" s="75"/>
      <c r="AF6" s="8"/>
      <c r="AG6" s="2">
        <f t="shared" si="0"/>
        <v>1</v>
      </c>
      <c r="AH6" s="78">
        <f t="shared" si="1"/>
        <v>4</v>
      </c>
    </row>
    <row r="7" spans="1:34" x14ac:dyDescent="0.45">
      <c r="A7" s="16" t="s">
        <v>58</v>
      </c>
      <c r="C7" s="13" t="s">
        <v>58</v>
      </c>
      <c r="D7" s="13" t="s">
        <v>583</v>
      </c>
      <c r="E7" s="13" t="str">
        <f>IF(ISBLANK(A7),"neu",IF(ISBLANK(C7),"weg",IF(A7&lt;&gt;C7,"geändert","")))</f>
        <v/>
      </c>
      <c r="H7" s="38" t="s">
        <v>11</v>
      </c>
      <c r="I7" s="36" t="s">
        <v>54</v>
      </c>
      <c r="J7" s="113"/>
      <c r="K7" s="114">
        <v>1</v>
      </c>
      <c r="L7" s="1">
        <v>1</v>
      </c>
      <c r="M7" s="113">
        <v>1</v>
      </c>
      <c r="N7" s="1">
        <v>1</v>
      </c>
      <c r="O7" s="1">
        <v>1</v>
      </c>
      <c r="P7" s="1">
        <v>1</v>
      </c>
      <c r="R7" s="74">
        <v>1</v>
      </c>
      <c r="V7" s="69">
        <v>1</v>
      </c>
      <c r="AE7" s="75"/>
      <c r="AF7" s="8"/>
      <c r="AG7" s="2">
        <f t="shared" si="0"/>
        <v>1</v>
      </c>
      <c r="AH7" s="78">
        <f t="shared" si="1"/>
        <v>4</v>
      </c>
    </row>
    <row r="8" spans="1:34" x14ac:dyDescent="0.45">
      <c r="A8" s="16" t="s">
        <v>59</v>
      </c>
      <c r="C8" s="13" t="s">
        <v>59</v>
      </c>
      <c r="D8" s="13" t="s">
        <v>583</v>
      </c>
      <c r="E8" s="13" t="str">
        <f>IF(ISBLANK(A8),"neu",IF(ISBLANK(C8),"weg",IF(A8&lt;&gt;C8,"geändert","")))</f>
        <v/>
      </c>
      <c r="H8" s="38" t="s">
        <v>11</v>
      </c>
      <c r="I8" s="36" t="s">
        <v>54</v>
      </c>
      <c r="J8" s="113"/>
      <c r="K8" s="114">
        <v>1</v>
      </c>
      <c r="L8" s="1">
        <v>1</v>
      </c>
      <c r="M8" s="113">
        <v>1</v>
      </c>
      <c r="N8" s="1">
        <v>1</v>
      </c>
      <c r="O8" s="1">
        <v>1</v>
      </c>
      <c r="P8" s="1">
        <v>1</v>
      </c>
      <c r="R8" s="74">
        <v>1</v>
      </c>
      <c r="V8" s="69">
        <v>1</v>
      </c>
      <c r="AE8" s="75"/>
      <c r="AF8" s="8"/>
      <c r="AG8" s="2">
        <f t="shared" si="0"/>
        <v>1</v>
      </c>
      <c r="AH8" s="78">
        <f t="shared" si="1"/>
        <v>4</v>
      </c>
    </row>
    <row r="9" spans="1:34" x14ac:dyDescent="0.45">
      <c r="A9" s="16" t="s">
        <v>60</v>
      </c>
      <c r="C9" s="13" t="s">
        <v>387</v>
      </c>
      <c r="D9" s="13" t="s">
        <v>583</v>
      </c>
      <c r="E9" s="13" t="str">
        <f>IF(ISBLANK(A9),"neu",IF(ISBLANK(C9),"weg",IF(A9&lt;&gt;C9,"geändert","")))</f>
        <v>geändert</v>
      </c>
      <c r="H9" s="38" t="s">
        <v>11</v>
      </c>
      <c r="I9" s="36" t="s">
        <v>54</v>
      </c>
      <c r="J9" s="113"/>
      <c r="K9" s="114">
        <v>1</v>
      </c>
      <c r="L9" s="1">
        <v>1</v>
      </c>
      <c r="M9" s="113">
        <v>1</v>
      </c>
      <c r="N9" s="1">
        <v>1</v>
      </c>
      <c r="O9" s="1">
        <v>1</v>
      </c>
      <c r="P9" s="1">
        <v>1</v>
      </c>
      <c r="R9" s="74">
        <v>1</v>
      </c>
      <c r="V9" s="69">
        <v>1</v>
      </c>
      <c r="AE9" s="75"/>
      <c r="AF9" s="8"/>
      <c r="AG9" s="2">
        <f t="shared" si="0"/>
        <v>1</v>
      </c>
      <c r="AH9" s="78">
        <f t="shared" si="1"/>
        <v>4</v>
      </c>
    </row>
    <row r="10" spans="1:34" x14ac:dyDescent="0.45">
      <c r="A10" s="16" t="s">
        <v>61</v>
      </c>
      <c r="C10" s="13" t="s">
        <v>388</v>
      </c>
      <c r="D10" s="13" t="s">
        <v>584</v>
      </c>
      <c r="E10" s="13" t="str">
        <f>IF(ISBLANK(A10),"neu",IF(ISBLANK(C10),"weg",IF(A10&lt;&gt;C10,"geändert","")))</f>
        <v>geändert</v>
      </c>
      <c r="H10" s="38" t="s">
        <v>11</v>
      </c>
      <c r="I10" s="36" t="s">
        <v>54</v>
      </c>
      <c r="J10" s="113"/>
      <c r="K10" s="114">
        <v>1</v>
      </c>
      <c r="L10" s="1">
        <v>1</v>
      </c>
      <c r="M10" s="113">
        <v>1</v>
      </c>
      <c r="N10" s="1">
        <v>1</v>
      </c>
      <c r="O10" s="1">
        <v>1</v>
      </c>
      <c r="P10" s="1">
        <v>1</v>
      </c>
      <c r="R10" s="74">
        <v>1</v>
      </c>
      <c r="W10" s="69">
        <v>1</v>
      </c>
      <c r="AE10" s="75"/>
      <c r="AF10" s="8"/>
      <c r="AG10" s="2">
        <f t="shared" si="0"/>
        <v>1</v>
      </c>
      <c r="AH10" s="78">
        <f t="shared" si="1"/>
        <v>5</v>
      </c>
    </row>
    <row r="11" spans="1:34" x14ac:dyDescent="0.45">
      <c r="A11" s="16" t="s">
        <v>62</v>
      </c>
      <c r="C11" s="13" t="s">
        <v>62</v>
      </c>
      <c r="D11" s="13" t="s">
        <v>583</v>
      </c>
      <c r="E11" s="13" t="str">
        <f>IF(ISBLANK(A11),"neu",IF(ISBLANK(C11),"weg",IF(A11&lt;&gt;C11,"geändert","")))</f>
        <v/>
      </c>
      <c r="H11" s="38" t="s">
        <v>11</v>
      </c>
      <c r="I11" s="36" t="s">
        <v>54</v>
      </c>
      <c r="J11" s="113"/>
      <c r="K11" s="114">
        <v>1</v>
      </c>
      <c r="L11" s="1">
        <v>1</v>
      </c>
      <c r="M11" s="113">
        <v>1</v>
      </c>
      <c r="N11" s="1">
        <v>1</v>
      </c>
      <c r="O11" s="1">
        <v>1</v>
      </c>
      <c r="P11" s="1">
        <v>1</v>
      </c>
      <c r="R11" s="74">
        <v>1</v>
      </c>
      <c r="V11" s="69">
        <v>1</v>
      </c>
      <c r="AE11" s="75"/>
      <c r="AF11" s="8"/>
      <c r="AG11" s="2">
        <f t="shared" si="0"/>
        <v>1</v>
      </c>
      <c r="AH11" s="78">
        <f t="shared" si="1"/>
        <v>4</v>
      </c>
    </row>
    <row r="12" spans="1:34" x14ac:dyDescent="0.45">
      <c r="A12" s="16" t="s">
        <v>63</v>
      </c>
      <c r="C12" s="13" t="s">
        <v>63</v>
      </c>
      <c r="D12" s="13"/>
      <c r="E12" s="13" t="str">
        <f>IF(ISBLANK(A12),"neu",IF(ISBLANK(C12),"weg",IF(A12&lt;&gt;C12,"geändert","")))</f>
        <v/>
      </c>
      <c r="H12" s="38" t="s">
        <v>11</v>
      </c>
      <c r="I12" s="36" t="s">
        <v>54</v>
      </c>
      <c r="J12" s="113"/>
      <c r="K12" s="114">
        <v>1</v>
      </c>
      <c r="L12" s="1">
        <v>1</v>
      </c>
      <c r="M12" s="113">
        <v>1</v>
      </c>
      <c r="N12" s="1">
        <v>1</v>
      </c>
      <c r="O12" s="1">
        <v>1</v>
      </c>
      <c r="P12" s="1">
        <v>1</v>
      </c>
      <c r="R12" s="74">
        <v>1</v>
      </c>
      <c r="AE12" s="75"/>
      <c r="AF12" s="70">
        <v>1</v>
      </c>
      <c r="AG12" s="2">
        <f t="shared" si="0"/>
        <v>1</v>
      </c>
      <c r="AH12" s="78">
        <f t="shared" si="1"/>
        <v>14</v>
      </c>
    </row>
    <row r="13" spans="1:34" x14ac:dyDescent="0.45">
      <c r="A13" s="16" t="s">
        <v>64</v>
      </c>
      <c r="C13" s="13" t="s">
        <v>64</v>
      </c>
      <c r="D13" s="13" t="s">
        <v>583</v>
      </c>
      <c r="E13" s="13" t="str">
        <f>IF(ISBLANK(A13),"neu",IF(ISBLANK(C13),"weg",IF(A13&lt;&gt;C13,"geändert","")))</f>
        <v/>
      </c>
      <c r="H13" s="38" t="s">
        <v>11</v>
      </c>
      <c r="I13" s="36" t="s">
        <v>54</v>
      </c>
      <c r="J13" s="113"/>
      <c r="K13" s="114">
        <v>1</v>
      </c>
      <c r="L13" s="1">
        <v>1</v>
      </c>
      <c r="M13" s="113">
        <v>1</v>
      </c>
      <c r="N13" s="1">
        <v>1</v>
      </c>
      <c r="O13" s="1">
        <v>1</v>
      </c>
      <c r="P13" s="1">
        <v>1</v>
      </c>
      <c r="R13" s="74">
        <v>1</v>
      </c>
      <c r="Y13" s="69">
        <v>1</v>
      </c>
      <c r="AE13" s="75"/>
      <c r="AF13" s="8"/>
      <c r="AG13" s="2">
        <f t="shared" si="0"/>
        <v>1</v>
      </c>
      <c r="AH13" s="78">
        <f t="shared" si="1"/>
        <v>7</v>
      </c>
    </row>
    <row r="14" spans="1:34" x14ac:dyDescent="0.45">
      <c r="A14" s="16" t="s">
        <v>65</v>
      </c>
      <c r="C14" s="13" t="s">
        <v>65</v>
      </c>
      <c r="D14" s="13"/>
      <c r="E14" s="13" t="str">
        <f>IF(ISBLANK(A14),"neu",IF(ISBLANK(C14),"weg",IF(A14&lt;&gt;C14,"geändert","")))</f>
        <v/>
      </c>
      <c r="H14" s="38" t="s">
        <v>11</v>
      </c>
      <c r="I14" s="36" t="s">
        <v>54</v>
      </c>
      <c r="J14" s="113"/>
      <c r="K14" s="114">
        <v>1</v>
      </c>
      <c r="L14" s="1">
        <v>1</v>
      </c>
      <c r="M14" s="113">
        <v>1</v>
      </c>
      <c r="N14" s="1">
        <v>1</v>
      </c>
      <c r="O14" s="1">
        <v>1</v>
      </c>
      <c r="P14" s="1">
        <v>1</v>
      </c>
      <c r="R14" s="74">
        <v>1</v>
      </c>
      <c r="V14" s="69">
        <v>1</v>
      </c>
      <c r="AE14" s="75"/>
      <c r="AF14" s="8"/>
      <c r="AG14" s="2">
        <f t="shared" si="0"/>
        <v>1</v>
      </c>
      <c r="AH14" s="78">
        <f t="shared" si="1"/>
        <v>4</v>
      </c>
    </row>
    <row r="15" spans="1:34" x14ac:dyDescent="0.45">
      <c r="A15" s="16" t="s">
        <v>66</v>
      </c>
      <c r="C15" s="13" t="s">
        <v>66</v>
      </c>
      <c r="D15" s="13"/>
      <c r="E15" s="13" t="str">
        <f>IF(ISBLANK(A15),"neu",IF(ISBLANK(C15),"weg",IF(A15&lt;&gt;C15,"geändert","")))</f>
        <v/>
      </c>
      <c r="H15" s="38" t="s">
        <v>11</v>
      </c>
      <c r="I15" s="36" t="s">
        <v>54</v>
      </c>
      <c r="J15" s="113"/>
      <c r="K15" s="114">
        <v>1</v>
      </c>
      <c r="L15" s="1">
        <v>1</v>
      </c>
      <c r="M15" s="113">
        <v>1</v>
      </c>
      <c r="N15" s="1">
        <v>1</v>
      </c>
      <c r="O15" s="1">
        <v>1</v>
      </c>
      <c r="P15" s="1">
        <v>1</v>
      </c>
      <c r="R15" s="74">
        <v>1</v>
      </c>
      <c r="V15" s="69">
        <v>1</v>
      </c>
      <c r="AE15" s="75"/>
      <c r="AF15" s="8"/>
      <c r="AG15" s="2">
        <f t="shared" si="0"/>
        <v>1</v>
      </c>
      <c r="AH15" s="78">
        <f t="shared" si="1"/>
        <v>4</v>
      </c>
    </row>
    <row r="16" spans="1:34" x14ac:dyDescent="0.45">
      <c r="A16" s="16" t="s">
        <v>67</v>
      </c>
      <c r="C16" s="13" t="s">
        <v>67</v>
      </c>
      <c r="D16" s="13"/>
      <c r="E16" s="13" t="str">
        <f>IF(ISBLANK(A16),"neu",IF(ISBLANK(C16),"weg",IF(A16&lt;&gt;C16,"geändert","")))</f>
        <v/>
      </c>
      <c r="H16" s="38" t="s">
        <v>11</v>
      </c>
      <c r="I16" s="36" t="s">
        <v>54</v>
      </c>
      <c r="J16" s="113"/>
      <c r="K16" s="114">
        <v>1</v>
      </c>
      <c r="L16" s="1">
        <v>1</v>
      </c>
      <c r="M16" s="113">
        <v>1</v>
      </c>
      <c r="N16" s="1">
        <v>1</v>
      </c>
      <c r="O16" s="1">
        <v>1</v>
      </c>
      <c r="P16" s="1">
        <v>1</v>
      </c>
      <c r="R16" s="74">
        <v>1</v>
      </c>
      <c r="V16" s="69">
        <v>1</v>
      </c>
      <c r="AE16" s="75"/>
      <c r="AF16" s="8"/>
      <c r="AG16" s="2">
        <f t="shared" si="0"/>
        <v>1</v>
      </c>
      <c r="AH16" s="78">
        <f t="shared" si="1"/>
        <v>4</v>
      </c>
    </row>
    <row r="17" spans="1:34" x14ac:dyDescent="0.45">
      <c r="A17" s="16" t="s">
        <v>68</v>
      </c>
      <c r="C17" s="31" t="s">
        <v>68</v>
      </c>
      <c r="D17" s="71" t="s">
        <v>582</v>
      </c>
      <c r="E17" s="13" t="str">
        <f>IF(ISBLANK(A17),"neu",IF(ISBLANK(C17),"weg",IF(A17&lt;&gt;C17,"geändert","")))</f>
        <v/>
      </c>
      <c r="H17" s="38" t="s">
        <v>11</v>
      </c>
      <c r="I17" s="36" t="s">
        <v>54</v>
      </c>
      <c r="J17" s="113"/>
      <c r="K17" s="114">
        <v>1</v>
      </c>
      <c r="L17" s="1">
        <v>1</v>
      </c>
      <c r="M17" s="113">
        <v>1</v>
      </c>
      <c r="N17" s="1">
        <v>1</v>
      </c>
      <c r="O17" s="1">
        <v>1</v>
      </c>
      <c r="P17" s="1">
        <v>1</v>
      </c>
      <c r="R17" s="74">
        <v>1</v>
      </c>
      <c r="S17" s="69">
        <v>1</v>
      </c>
      <c r="AE17" s="75"/>
      <c r="AF17" s="8"/>
      <c r="AG17" s="2">
        <f t="shared" si="0"/>
        <v>1</v>
      </c>
      <c r="AH17" s="78">
        <f t="shared" si="1"/>
        <v>1</v>
      </c>
    </row>
    <row r="18" spans="1:34" x14ac:dyDescent="0.45">
      <c r="A18" s="16" t="s">
        <v>69</v>
      </c>
      <c r="C18" s="16" t="s">
        <v>69</v>
      </c>
      <c r="D18" s="13" t="s">
        <v>585</v>
      </c>
      <c r="E18" s="13" t="str">
        <f>IF(ISBLANK(A18),"neu",IF(ISBLANK(C18),"weg",IF(A18&lt;&gt;C18,"geändert","")))</f>
        <v/>
      </c>
      <c r="H18" s="38" t="s">
        <v>11</v>
      </c>
      <c r="I18" s="36" t="s">
        <v>54</v>
      </c>
      <c r="J18" s="113"/>
      <c r="K18" s="114">
        <v>1</v>
      </c>
      <c r="L18" s="1">
        <v>1</v>
      </c>
      <c r="M18" s="113">
        <v>1</v>
      </c>
      <c r="N18" s="1">
        <v>1</v>
      </c>
      <c r="O18" s="1">
        <v>1</v>
      </c>
      <c r="P18" s="1">
        <v>1</v>
      </c>
      <c r="R18" s="74">
        <v>1</v>
      </c>
      <c r="Z18" s="69">
        <v>1</v>
      </c>
      <c r="AE18" s="75"/>
      <c r="AF18" s="8"/>
      <c r="AG18" s="2">
        <f t="shared" si="0"/>
        <v>1</v>
      </c>
      <c r="AH18" s="78">
        <f t="shared" si="1"/>
        <v>8</v>
      </c>
    </row>
    <row r="19" spans="1:34" x14ac:dyDescent="0.45">
      <c r="A19" s="16" t="s">
        <v>70</v>
      </c>
      <c r="C19" s="16" t="s">
        <v>70</v>
      </c>
      <c r="D19" s="13" t="s">
        <v>583</v>
      </c>
      <c r="E19" s="13" t="str">
        <f>IF(ISBLANK(A19),"neu",IF(ISBLANK(C19),"weg",IF(A19&lt;&gt;C19,"geändert","")))</f>
        <v/>
      </c>
      <c r="H19" s="38" t="s">
        <v>11</v>
      </c>
      <c r="I19" s="36" t="s">
        <v>54</v>
      </c>
      <c r="J19" s="113"/>
      <c r="K19" s="114">
        <v>1</v>
      </c>
      <c r="L19" s="1">
        <v>1</v>
      </c>
      <c r="M19" s="113">
        <v>1</v>
      </c>
      <c r="N19" s="1">
        <v>1</v>
      </c>
      <c r="O19" s="1">
        <v>1</v>
      </c>
      <c r="P19" s="1">
        <v>1</v>
      </c>
      <c r="R19" s="74">
        <v>1</v>
      </c>
      <c r="V19" s="69">
        <v>1</v>
      </c>
      <c r="AE19" s="75"/>
      <c r="AF19" s="8"/>
      <c r="AG19" s="2">
        <f t="shared" si="0"/>
        <v>1</v>
      </c>
      <c r="AH19" s="78">
        <f t="shared" si="1"/>
        <v>4</v>
      </c>
    </row>
    <row r="20" spans="1:34" x14ac:dyDescent="0.45">
      <c r="A20" s="16" t="s">
        <v>71</v>
      </c>
      <c r="C20" s="16" t="s">
        <v>71</v>
      </c>
      <c r="D20" s="16"/>
      <c r="E20" s="13" t="str">
        <f>IF(ISBLANK(A20),"neu",IF(ISBLANK(C20),"weg",IF(A20&lt;&gt;C20,"geändert","")))</f>
        <v/>
      </c>
      <c r="H20" s="38" t="s">
        <v>11</v>
      </c>
      <c r="I20" s="36" t="s">
        <v>54</v>
      </c>
      <c r="J20" s="113"/>
      <c r="K20" s="114">
        <v>1</v>
      </c>
      <c r="L20" s="1">
        <v>1</v>
      </c>
      <c r="M20" s="113">
        <v>1</v>
      </c>
      <c r="N20" s="1">
        <v>1</v>
      </c>
      <c r="O20" s="1">
        <v>1</v>
      </c>
      <c r="P20" s="1">
        <v>1</v>
      </c>
      <c r="R20" s="74">
        <v>1</v>
      </c>
      <c r="X20" s="69">
        <v>1</v>
      </c>
      <c r="AE20" s="75"/>
      <c r="AF20" s="8"/>
      <c r="AG20" s="2">
        <f t="shared" si="0"/>
        <v>1</v>
      </c>
      <c r="AH20" s="78">
        <f t="shared" si="1"/>
        <v>6</v>
      </c>
    </row>
    <row r="21" spans="1:34" ht="15.75" customHeight="1" x14ac:dyDescent="0.45">
      <c r="A21" s="16" t="s">
        <v>72</v>
      </c>
      <c r="C21" s="16" t="s">
        <v>72</v>
      </c>
      <c r="D21" s="16"/>
      <c r="E21" s="13" t="str">
        <f>IF(ISBLANK(A21),"neu",IF(ISBLANK(C21),"weg",IF(A21&lt;&gt;C21,"geändert","")))</f>
        <v/>
      </c>
      <c r="H21" s="38" t="s">
        <v>11</v>
      </c>
      <c r="I21" s="36" t="s">
        <v>54</v>
      </c>
      <c r="J21" s="113"/>
      <c r="K21" s="114">
        <v>1</v>
      </c>
      <c r="L21" s="1">
        <v>1</v>
      </c>
      <c r="M21" s="113">
        <v>1</v>
      </c>
      <c r="N21" s="1">
        <v>1</v>
      </c>
      <c r="O21" s="1">
        <v>1</v>
      </c>
      <c r="P21" s="1">
        <v>1</v>
      </c>
      <c r="R21" s="74">
        <v>1</v>
      </c>
      <c r="W21" s="69">
        <v>1</v>
      </c>
      <c r="AE21" s="75"/>
      <c r="AF21" s="8"/>
      <c r="AG21" s="2">
        <f t="shared" si="0"/>
        <v>1</v>
      </c>
      <c r="AH21" s="78">
        <f t="shared" si="1"/>
        <v>5</v>
      </c>
    </row>
    <row r="22" spans="1:34" x14ac:dyDescent="0.45">
      <c r="A22" s="16" t="s">
        <v>235</v>
      </c>
      <c r="C22" s="16" t="s">
        <v>235</v>
      </c>
      <c r="D22" s="71" t="s">
        <v>586</v>
      </c>
      <c r="E22" s="13" t="str">
        <f>IF(ISBLANK(A22),"neu",IF(ISBLANK(C22),"weg",IF(A22&lt;&gt;C22,"geändert","")))</f>
        <v/>
      </c>
      <c r="H22" s="38" t="s">
        <v>11</v>
      </c>
      <c r="I22" s="36" t="s">
        <v>54</v>
      </c>
      <c r="J22" s="113"/>
      <c r="K22" s="114">
        <v>1</v>
      </c>
      <c r="L22" s="113">
        <v>1</v>
      </c>
      <c r="M22" s="113">
        <v>1</v>
      </c>
      <c r="N22" s="113">
        <v>1</v>
      </c>
      <c r="O22" s="113">
        <v>1</v>
      </c>
      <c r="P22" s="113">
        <v>1</v>
      </c>
      <c r="Q22" s="113"/>
      <c r="R22" s="74">
        <v>1</v>
      </c>
      <c r="U22" s="69">
        <v>1</v>
      </c>
      <c r="AE22" s="75"/>
      <c r="AF22" s="8"/>
      <c r="AG22" s="2">
        <f t="shared" si="0"/>
        <v>1</v>
      </c>
      <c r="AH22" s="78">
        <f t="shared" si="1"/>
        <v>3</v>
      </c>
    </row>
    <row r="23" spans="1:34" x14ac:dyDescent="0.45">
      <c r="A23" s="16" t="s">
        <v>236</v>
      </c>
      <c r="C23" s="16" t="s">
        <v>236</v>
      </c>
      <c r="D23" s="71" t="s">
        <v>587</v>
      </c>
      <c r="E23" s="13" t="str">
        <f>IF(ISBLANK(A23),"neu",IF(ISBLANK(C23),"weg",IF(A23&lt;&gt;C23,"geändert","")))</f>
        <v/>
      </c>
      <c r="H23" s="38" t="s">
        <v>11</v>
      </c>
      <c r="I23" s="36" t="s">
        <v>54</v>
      </c>
      <c r="J23" s="113"/>
      <c r="K23" s="114">
        <v>1</v>
      </c>
      <c r="L23" s="113">
        <v>1</v>
      </c>
      <c r="M23" s="113">
        <v>1</v>
      </c>
      <c r="N23" s="113">
        <v>1</v>
      </c>
      <c r="O23" s="113">
        <v>1</v>
      </c>
      <c r="P23" s="113">
        <v>1</v>
      </c>
      <c r="Q23" s="113"/>
      <c r="R23" s="74">
        <v>1</v>
      </c>
      <c r="U23" s="69">
        <v>1</v>
      </c>
      <c r="AE23" s="75"/>
      <c r="AF23" s="8"/>
      <c r="AG23" s="2">
        <f t="shared" si="0"/>
        <v>1</v>
      </c>
      <c r="AH23" s="78">
        <f t="shared" si="1"/>
        <v>3</v>
      </c>
    </row>
    <row r="24" spans="1:34" x14ac:dyDescent="0.45">
      <c r="A24" s="16" t="s">
        <v>73</v>
      </c>
      <c r="C24" s="16" t="s">
        <v>73</v>
      </c>
      <c r="D24" s="16"/>
      <c r="E24" s="13" t="str">
        <f>IF(ISBLANK(A24),"neu",IF(ISBLANK(C24),"weg",IF(A24&lt;&gt;C24,"geändert","")))</f>
        <v/>
      </c>
      <c r="H24" s="38" t="s">
        <v>11</v>
      </c>
      <c r="I24" s="36" t="s">
        <v>54</v>
      </c>
      <c r="J24" s="113"/>
      <c r="K24" s="114">
        <v>1</v>
      </c>
      <c r="L24" s="115">
        <v>1</v>
      </c>
      <c r="M24" s="113">
        <v>1</v>
      </c>
      <c r="N24" s="115">
        <v>1</v>
      </c>
      <c r="O24" s="115">
        <v>1</v>
      </c>
      <c r="P24" s="115">
        <v>1</v>
      </c>
      <c r="Q24" s="115"/>
      <c r="R24" s="74">
        <v>1</v>
      </c>
      <c r="AB24" s="69">
        <v>1</v>
      </c>
      <c r="AE24" s="75"/>
      <c r="AF24" s="8"/>
      <c r="AG24" s="2">
        <f t="shared" si="0"/>
        <v>1</v>
      </c>
      <c r="AH24" s="78">
        <f t="shared" si="1"/>
        <v>10</v>
      </c>
    </row>
    <row r="25" spans="1:34" x14ac:dyDescent="0.45">
      <c r="A25" s="16" t="s">
        <v>153</v>
      </c>
      <c r="C25" s="13" t="s">
        <v>373</v>
      </c>
      <c r="D25" s="13" t="s">
        <v>588</v>
      </c>
      <c r="E25" s="13" t="str">
        <f>IF(ISBLANK(A25),"neu",IF(ISBLANK(C25),"weg",IF(A25&lt;&gt;C25,"geändert","")))</f>
        <v>geändert</v>
      </c>
      <c r="H25" s="38" t="s">
        <v>11</v>
      </c>
      <c r="I25" s="36" t="s">
        <v>54</v>
      </c>
      <c r="J25" s="113"/>
      <c r="K25" s="114">
        <v>1</v>
      </c>
      <c r="L25" s="1">
        <v>1</v>
      </c>
      <c r="M25" s="113">
        <v>1</v>
      </c>
      <c r="N25" s="1">
        <v>1</v>
      </c>
      <c r="O25" s="1">
        <v>1</v>
      </c>
      <c r="P25" s="1">
        <v>1</v>
      </c>
      <c r="R25" s="74">
        <v>1</v>
      </c>
      <c r="S25" s="69">
        <v>1</v>
      </c>
      <c r="AE25" s="75"/>
      <c r="AF25" s="8"/>
      <c r="AG25" s="2">
        <f t="shared" si="0"/>
        <v>1</v>
      </c>
      <c r="AH25" s="78">
        <f t="shared" si="1"/>
        <v>1</v>
      </c>
    </row>
    <row r="26" spans="1:34" x14ac:dyDescent="0.45">
      <c r="A26" s="16" t="s">
        <v>74</v>
      </c>
      <c r="B26" t="s">
        <v>29</v>
      </c>
      <c r="C26" s="13" t="s">
        <v>74</v>
      </c>
      <c r="D26" s="13"/>
      <c r="E26" s="13" t="str">
        <f>IF(ISBLANK(A26),"neu",IF(ISBLANK(C26),"weg",IF(A26&lt;&gt;C26,"geändert","")))</f>
        <v/>
      </c>
      <c r="H26" s="38" t="s">
        <v>11</v>
      </c>
      <c r="I26" s="15"/>
      <c r="J26" s="113">
        <v>1</v>
      </c>
      <c r="K26" s="114">
        <v>1</v>
      </c>
      <c r="L26" s="113">
        <v>1</v>
      </c>
      <c r="M26" s="113">
        <v>1</v>
      </c>
      <c r="N26" s="113"/>
      <c r="O26" s="113"/>
      <c r="P26" s="113"/>
      <c r="Q26" s="113"/>
      <c r="R26" s="74">
        <v>1</v>
      </c>
      <c r="T26" s="69">
        <v>1</v>
      </c>
      <c r="AE26" s="75"/>
      <c r="AF26" s="8"/>
      <c r="AG26" s="2">
        <f t="shared" si="0"/>
        <v>1</v>
      </c>
      <c r="AH26" s="78">
        <f t="shared" si="1"/>
        <v>2</v>
      </c>
    </row>
    <row r="27" spans="1:34" x14ac:dyDescent="0.45">
      <c r="A27" s="16" t="s">
        <v>75</v>
      </c>
      <c r="B27" t="s">
        <v>30</v>
      </c>
      <c r="C27" s="13" t="s">
        <v>75</v>
      </c>
      <c r="D27" s="13"/>
      <c r="E27" s="13" t="str">
        <f>IF(ISBLANK(A27),"neu",IF(ISBLANK(C27),"weg",IF(A27&lt;&gt;C27,"geändert","")))</f>
        <v/>
      </c>
      <c r="H27" s="38" t="s">
        <v>11</v>
      </c>
      <c r="I27" s="15"/>
      <c r="J27" s="113">
        <v>1</v>
      </c>
      <c r="K27" s="114">
        <v>1</v>
      </c>
      <c r="L27" s="113">
        <v>1</v>
      </c>
      <c r="M27" s="113">
        <v>1</v>
      </c>
      <c r="N27" s="113">
        <v>1</v>
      </c>
      <c r="O27" s="113">
        <v>1</v>
      </c>
      <c r="P27" s="113">
        <v>1</v>
      </c>
      <c r="Q27" s="113"/>
      <c r="R27" s="74">
        <v>1</v>
      </c>
      <c r="AA27" s="69">
        <v>1</v>
      </c>
      <c r="AE27" s="75"/>
      <c r="AF27" s="8"/>
      <c r="AG27" s="2">
        <f t="shared" si="0"/>
        <v>1</v>
      </c>
      <c r="AH27" s="78">
        <f t="shared" si="1"/>
        <v>9</v>
      </c>
    </row>
    <row r="28" spans="1:34" x14ac:dyDescent="0.45">
      <c r="A28" s="16" t="s">
        <v>76</v>
      </c>
      <c r="B28" t="s">
        <v>31</v>
      </c>
      <c r="C28" s="13" t="s">
        <v>76</v>
      </c>
      <c r="D28" s="13"/>
      <c r="E28" s="13" t="str">
        <f>IF(ISBLANK(A28),"neu",IF(ISBLANK(C28),"weg",IF(A28&lt;&gt;C28,"geändert","")))</f>
        <v/>
      </c>
      <c r="H28" s="38" t="s">
        <v>11</v>
      </c>
      <c r="I28" s="15"/>
      <c r="J28" s="113">
        <v>1</v>
      </c>
      <c r="K28" s="114">
        <v>1</v>
      </c>
      <c r="L28" s="1">
        <v>1</v>
      </c>
      <c r="M28" s="113">
        <v>1</v>
      </c>
      <c r="N28" s="1">
        <v>1</v>
      </c>
      <c r="O28" s="1">
        <v>1</v>
      </c>
      <c r="P28" s="1">
        <v>1</v>
      </c>
      <c r="R28" s="74">
        <v>1</v>
      </c>
      <c r="AC28" s="69">
        <v>1</v>
      </c>
      <c r="AE28" s="75"/>
      <c r="AF28" s="8"/>
      <c r="AG28" s="2">
        <f t="shared" si="0"/>
        <v>1</v>
      </c>
      <c r="AH28" s="78">
        <f t="shared" si="1"/>
        <v>11</v>
      </c>
    </row>
    <row r="29" spans="1:34" x14ac:dyDescent="0.45">
      <c r="A29" s="16" t="s">
        <v>77</v>
      </c>
      <c r="B29"/>
      <c r="D29" s="34" t="s">
        <v>389</v>
      </c>
      <c r="E29" s="13" t="str">
        <f>IF(ISBLANK(A29),"neu",IF(ISBLANK(C29),"weg",IF(A29&lt;&gt;C29,"geändert","")))</f>
        <v>weg</v>
      </c>
      <c r="H29" s="38"/>
      <c r="I29" s="15"/>
      <c r="J29" s="113"/>
      <c r="K29" s="113"/>
      <c r="M29" s="113"/>
      <c r="AE29" s="75"/>
      <c r="AF29" s="8"/>
      <c r="AG29" s="2" t="str">
        <f t="shared" si="0"/>
        <v/>
      </c>
      <c r="AH29" s="78" t="str">
        <f t="shared" si="1"/>
        <v/>
      </c>
    </row>
    <row r="30" spans="1:34" x14ac:dyDescent="0.45">
      <c r="A30" s="16" t="s">
        <v>359</v>
      </c>
      <c r="B30" t="s">
        <v>32</v>
      </c>
      <c r="C30" s="13" t="s">
        <v>374</v>
      </c>
      <c r="D30" s="13" t="s">
        <v>589</v>
      </c>
      <c r="E30" s="13" t="str">
        <f>IF(ISBLANK(A30),"neu",IF(ISBLANK(C30),"weg",IF(A30&lt;&gt;C30,"geändert","")))</f>
        <v>geändert</v>
      </c>
      <c r="H30" s="38" t="s">
        <v>11</v>
      </c>
      <c r="I30" s="15"/>
      <c r="J30" s="113"/>
      <c r="K30" s="113"/>
      <c r="L30" s="1">
        <v>1</v>
      </c>
      <c r="M30" s="113">
        <v>1</v>
      </c>
      <c r="N30" s="1">
        <v>1</v>
      </c>
      <c r="O30" s="1">
        <v>1</v>
      </c>
      <c r="P30" s="1">
        <v>1</v>
      </c>
      <c r="R30" s="74">
        <v>1</v>
      </c>
      <c r="U30" s="69">
        <v>1</v>
      </c>
      <c r="AE30" s="75"/>
      <c r="AF30" s="8"/>
      <c r="AG30" s="2">
        <f t="shared" si="0"/>
        <v>1</v>
      </c>
      <c r="AH30" s="78">
        <f t="shared" si="1"/>
        <v>3</v>
      </c>
    </row>
    <row r="31" spans="1:34" x14ac:dyDescent="0.45">
      <c r="A31" s="16" t="s">
        <v>78</v>
      </c>
      <c r="B31" t="s">
        <v>33</v>
      </c>
      <c r="C31" s="13" t="s">
        <v>78</v>
      </c>
      <c r="D31" s="13"/>
      <c r="E31" s="13" t="str">
        <f>IF(ISBLANK(A31),"neu",IF(ISBLANK(C31),"weg",IF(A31&lt;&gt;C31,"geändert","")))</f>
        <v/>
      </c>
      <c r="H31" s="38" t="s">
        <v>11</v>
      </c>
      <c r="I31" s="15"/>
      <c r="J31" s="114">
        <v>1</v>
      </c>
      <c r="K31" s="114">
        <v>1</v>
      </c>
      <c r="L31" s="1">
        <v>1</v>
      </c>
      <c r="M31" s="113">
        <v>1</v>
      </c>
      <c r="N31" s="1">
        <v>1</v>
      </c>
      <c r="O31" s="1">
        <v>1</v>
      </c>
      <c r="P31" s="1">
        <v>1</v>
      </c>
      <c r="R31" s="74">
        <v>1</v>
      </c>
      <c r="U31" s="69">
        <v>1</v>
      </c>
      <c r="AE31" s="75"/>
      <c r="AF31" s="8"/>
      <c r="AG31" s="2">
        <f t="shared" si="0"/>
        <v>1</v>
      </c>
      <c r="AH31" s="78">
        <f t="shared" si="1"/>
        <v>3</v>
      </c>
    </row>
    <row r="32" spans="1:34" x14ac:dyDescent="0.45">
      <c r="A32" s="16" t="s">
        <v>79</v>
      </c>
      <c r="B32" t="s">
        <v>34</v>
      </c>
      <c r="C32" s="13" t="s">
        <v>79</v>
      </c>
      <c r="D32" s="13"/>
      <c r="E32" s="13" t="str">
        <f>IF(ISBLANK(A32),"neu",IF(ISBLANK(C32),"weg",IF(A32&lt;&gt;C32,"geändert","")))</f>
        <v/>
      </c>
      <c r="H32" s="38" t="s">
        <v>11</v>
      </c>
      <c r="I32" s="15"/>
      <c r="J32" s="114">
        <v>1</v>
      </c>
      <c r="K32" s="114">
        <v>1</v>
      </c>
      <c r="L32" s="1">
        <v>1</v>
      </c>
      <c r="M32" s="113">
        <v>1</v>
      </c>
      <c r="N32" s="1">
        <v>1</v>
      </c>
      <c r="O32" s="1">
        <v>1</v>
      </c>
      <c r="P32" s="1">
        <v>1</v>
      </c>
      <c r="R32" s="74">
        <v>1</v>
      </c>
      <c r="U32" s="69">
        <v>1</v>
      </c>
      <c r="AE32" s="75"/>
      <c r="AF32" s="8"/>
      <c r="AG32" s="2">
        <f t="shared" si="0"/>
        <v>1</v>
      </c>
      <c r="AH32" s="78">
        <f t="shared" si="1"/>
        <v>3</v>
      </c>
    </row>
    <row r="33" spans="1:34" x14ac:dyDescent="0.45">
      <c r="A33" s="16" t="s">
        <v>80</v>
      </c>
      <c r="B33" t="s">
        <v>35</v>
      </c>
      <c r="C33" s="13" t="s">
        <v>80</v>
      </c>
      <c r="D33" s="13"/>
      <c r="E33" s="13" t="str">
        <f>IF(ISBLANK(A33),"neu",IF(ISBLANK(C33),"weg",IF(A33&lt;&gt;C33,"geändert","")))</f>
        <v/>
      </c>
      <c r="H33" s="38" t="s">
        <v>11</v>
      </c>
      <c r="I33" s="15"/>
      <c r="J33" s="114">
        <v>1</v>
      </c>
      <c r="K33" s="114">
        <v>1</v>
      </c>
      <c r="L33" s="113">
        <v>1</v>
      </c>
      <c r="M33" s="113">
        <v>1</v>
      </c>
      <c r="N33" s="113">
        <v>1</v>
      </c>
      <c r="O33" s="113">
        <v>1</v>
      </c>
      <c r="P33" s="113">
        <v>1</v>
      </c>
      <c r="Q33" s="113"/>
      <c r="R33" s="74">
        <v>1</v>
      </c>
      <c r="U33" s="69">
        <v>1</v>
      </c>
      <c r="AE33" s="75"/>
      <c r="AF33" s="8"/>
      <c r="AG33" s="2">
        <f t="shared" si="0"/>
        <v>1</v>
      </c>
      <c r="AH33" s="78">
        <f t="shared" si="1"/>
        <v>3</v>
      </c>
    </row>
    <row r="34" spans="1:34" x14ac:dyDescent="0.45">
      <c r="A34" s="16" t="s">
        <v>81</v>
      </c>
      <c r="B34" t="s">
        <v>36</v>
      </c>
      <c r="C34" s="13" t="s">
        <v>81</v>
      </c>
      <c r="D34" s="13"/>
      <c r="E34" s="13" t="str">
        <f>IF(ISBLANK(A34),"neu",IF(ISBLANK(C34),"weg",IF(A34&lt;&gt;C34,"geändert","")))</f>
        <v/>
      </c>
      <c r="H34" s="38" t="s">
        <v>11</v>
      </c>
      <c r="I34" s="15"/>
      <c r="J34" s="114">
        <v>1</v>
      </c>
      <c r="K34" s="114">
        <v>1</v>
      </c>
      <c r="L34" s="113">
        <v>1</v>
      </c>
      <c r="M34" s="113">
        <v>1</v>
      </c>
      <c r="N34" s="113">
        <v>1</v>
      </c>
      <c r="O34" s="113">
        <v>1</v>
      </c>
      <c r="P34" s="113">
        <v>1</v>
      </c>
      <c r="Q34" s="113"/>
      <c r="R34" s="74">
        <v>1</v>
      </c>
      <c r="U34" s="69">
        <v>1</v>
      </c>
      <c r="AE34" s="75"/>
      <c r="AF34" s="8"/>
      <c r="AG34" s="2">
        <f t="shared" si="0"/>
        <v>1</v>
      </c>
      <c r="AH34" s="78">
        <f t="shared" si="1"/>
        <v>3</v>
      </c>
    </row>
    <row r="35" spans="1:34" x14ac:dyDescent="0.45">
      <c r="A35" s="16" t="s">
        <v>82</v>
      </c>
      <c r="B35" t="s">
        <v>37</v>
      </c>
      <c r="C35" s="13" t="s">
        <v>82</v>
      </c>
      <c r="D35" s="13"/>
      <c r="E35" s="13" t="str">
        <f>IF(ISBLANK(A35),"neu",IF(ISBLANK(C35),"weg",IF(A35&lt;&gt;C35,"geändert","")))</f>
        <v/>
      </c>
      <c r="H35" s="38" t="s">
        <v>11</v>
      </c>
      <c r="I35" s="15"/>
      <c r="J35" s="114">
        <v>1</v>
      </c>
      <c r="K35" s="114">
        <v>1</v>
      </c>
      <c r="L35" s="113">
        <v>1</v>
      </c>
      <c r="M35" s="113">
        <v>1</v>
      </c>
      <c r="N35" s="113">
        <v>1</v>
      </c>
      <c r="O35" s="113">
        <v>1</v>
      </c>
      <c r="P35" s="113">
        <v>1</v>
      </c>
      <c r="Q35" s="113"/>
      <c r="R35" s="74">
        <v>1</v>
      </c>
      <c r="U35" s="69">
        <v>1</v>
      </c>
      <c r="AE35" s="75"/>
      <c r="AF35" s="8"/>
      <c r="AG35" s="2">
        <f t="shared" si="0"/>
        <v>1</v>
      </c>
      <c r="AH35" s="78">
        <f t="shared" si="1"/>
        <v>3</v>
      </c>
    </row>
    <row r="36" spans="1:34" x14ac:dyDescent="0.45">
      <c r="A36" s="24" t="s">
        <v>214</v>
      </c>
      <c r="C36" s="13" t="s">
        <v>688</v>
      </c>
      <c r="D36" s="13" t="s">
        <v>590</v>
      </c>
      <c r="E36" s="13" t="str">
        <f>IF(ISBLANK(A36),"neu",IF(ISBLANK(C36),"weg",IF(A36&lt;&gt;C36,"geändert","")))</f>
        <v>geändert</v>
      </c>
      <c r="H36" s="38" t="s">
        <v>11</v>
      </c>
      <c r="I36" s="15"/>
      <c r="J36" s="114">
        <v>1</v>
      </c>
      <c r="K36" s="114">
        <v>1</v>
      </c>
      <c r="L36" s="113"/>
      <c r="M36" s="113"/>
      <c r="N36" s="113"/>
      <c r="O36" s="113"/>
      <c r="P36" s="113"/>
      <c r="Q36" s="113"/>
      <c r="R36" s="74">
        <v>1</v>
      </c>
      <c r="AC36" s="69">
        <v>1</v>
      </c>
      <c r="AE36" s="75"/>
      <c r="AF36" s="8"/>
      <c r="AG36" s="2">
        <f t="shared" si="0"/>
        <v>1</v>
      </c>
      <c r="AH36" s="78">
        <f t="shared" si="1"/>
        <v>11</v>
      </c>
    </row>
    <row r="37" spans="1:34" x14ac:dyDescent="0.45">
      <c r="A37" s="24" t="s">
        <v>215</v>
      </c>
      <c r="C37" s="13" t="s">
        <v>689</v>
      </c>
      <c r="D37" s="13" t="s">
        <v>591</v>
      </c>
      <c r="E37" s="13" t="str">
        <f>IF(ISBLANK(A37),"neu",IF(ISBLANK(C37),"weg",IF(A37&lt;&gt;C37,"geändert","")))</f>
        <v>geändert</v>
      </c>
      <c r="H37" s="38" t="s">
        <v>11</v>
      </c>
      <c r="I37" s="15"/>
      <c r="J37" s="114">
        <v>1</v>
      </c>
      <c r="K37" s="114">
        <v>1</v>
      </c>
      <c r="L37" s="113"/>
      <c r="M37" s="113"/>
      <c r="N37" s="113"/>
      <c r="O37" s="113"/>
      <c r="P37" s="113"/>
      <c r="Q37" s="113"/>
      <c r="R37" s="74">
        <v>1</v>
      </c>
      <c r="AC37" s="69">
        <v>1</v>
      </c>
      <c r="AE37" s="75"/>
      <c r="AF37" s="8"/>
      <c r="AG37" s="2">
        <f t="shared" si="0"/>
        <v>1</v>
      </c>
      <c r="AH37" s="78">
        <f t="shared" si="1"/>
        <v>11</v>
      </c>
    </row>
    <row r="38" spans="1:34" x14ac:dyDescent="0.45">
      <c r="A38" s="24" t="s">
        <v>216</v>
      </c>
      <c r="C38" s="13" t="s">
        <v>690</v>
      </c>
      <c r="D38" s="13" t="s">
        <v>592</v>
      </c>
      <c r="E38" s="13" t="str">
        <f>IF(ISBLANK(A38),"neu",IF(ISBLANK(C38),"weg",IF(A38&lt;&gt;C38,"geändert","")))</f>
        <v>geändert</v>
      </c>
      <c r="H38" s="38" t="s">
        <v>11</v>
      </c>
      <c r="I38" s="15"/>
      <c r="J38" s="114">
        <v>1</v>
      </c>
      <c r="K38" s="114">
        <v>1</v>
      </c>
      <c r="L38" s="113"/>
      <c r="M38" s="113"/>
      <c r="N38" s="113"/>
      <c r="O38" s="113"/>
      <c r="P38" s="113"/>
      <c r="Q38" s="113"/>
      <c r="R38" s="74">
        <v>1</v>
      </c>
      <c r="AC38" s="69">
        <v>1</v>
      </c>
      <c r="AE38" s="75"/>
      <c r="AF38" s="8"/>
      <c r="AG38" s="2">
        <f t="shared" si="0"/>
        <v>1</v>
      </c>
      <c r="AH38" s="78">
        <f t="shared" si="1"/>
        <v>11</v>
      </c>
    </row>
    <row r="39" spans="1:34" x14ac:dyDescent="0.45">
      <c r="A39" s="24" t="s">
        <v>217</v>
      </c>
      <c r="C39" s="13" t="s">
        <v>691</v>
      </c>
      <c r="D39" s="13" t="s">
        <v>593</v>
      </c>
      <c r="E39" s="13" t="str">
        <f>IF(ISBLANK(A39),"neu",IF(ISBLANK(C39),"weg",IF(A39&lt;&gt;C39,"geändert","")))</f>
        <v>geändert</v>
      </c>
      <c r="H39" s="38" t="s">
        <v>11</v>
      </c>
      <c r="I39" s="15"/>
      <c r="J39" s="114">
        <v>1</v>
      </c>
      <c r="K39" s="114">
        <v>1</v>
      </c>
      <c r="L39" s="113"/>
      <c r="M39" s="113"/>
      <c r="N39" s="113"/>
      <c r="O39" s="113"/>
      <c r="P39" s="113"/>
      <c r="Q39" s="113"/>
      <c r="R39" s="74">
        <v>1</v>
      </c>
      <c r="AC39" s="69">
        <v>1</v>
      </c>
      <c r="AE39" s="75"/>
      <c r="AF39" s="8"/>
      <c r="AG39" s="2">
        <f t="shared" si="0"/>
        <v>1</v>
      </c>
      <c r="AH39" s="78">
        <f t="shared" si="1"/>
        <v>11</v>
      </c>
    </row>
    <row r="40" spans="1:34" x14ac:dyDescent="0.45">
      <c r="A40" s="24" t="s">
        <v>218</v>
      </c>
      <c r="C40" s="13" t="s">
        <v>692</v>
      </c>
      <c r="D40" s="13" t="s">
        <v>594</v>
      </c>
      <c r="E40" s="13" t="str">
        <f>IF(ISBLANK(A40),"neu",IF(ISBLANK(C40),"weg",IF(A40&lt;&gt;C40,"geändert","")))</f>
        <v>geändert</v>
      </c>
      <c r="H40" s="38" t="s">
        <v>11</v>
      </c>
      <c r="I40" s="15"/>
      <c r="J40" s="114">
        <v>1</v>
      </c>
      <c r="K40" s="114">
        <v>1</v>
      </c>
      <c r="L40" s="113"/>
      <c r="M40" s="113"/>
      <c r="N40" s="113"/>
      <c r="O40" s="113"/>
      <c r="P40" s="113"/>
      <c r="Q40" s="113"/>
      <c r="R40" s="74">
        <v>1</v>
      </c>
      <c r="AC40" s="69">
        <v>1</v>
      </c>
      <c r="AE40" s="75"/>
      <c r="AF40" s="8"/>
      <c r="AG40" s="2">
        <f t="shared" si="0"/>
        <v>1</v>
      </c>
      <c r="AH40" s="78">
        <f t="shared" si="1"/>
        <v>11</v>
      </c>
    </row>
    <row r="41" spans="1:34" x14ac:dyDescent="0.45">
      <c r="C41" s="33" t="s">
        <v>376</v>
      </c>
      <c r="D41" s="33"/>
      <c r="E41" s="13" t="str">
        <f>IF(ISBLANK(A41),"neu",IF(ISBLANK(C41),"weg",IF(A41&lt;&gt;C41,"geändert","")))</f>
        <v>neu</v>
      </c>
      <c r="H41" s="87" t="s">
        <v>11</v>
      </c>
      <c r="I41" s="7"/>
      <c r="J41" s="114">
        <v>1</v>
      </c>
      <c r="K41" s="114">
        <v>1</v>
      </c>
      <c r="O41" s="1">
        <v>1</v>
      </c>
      <c r="R41" s="74">
        <v>1</v>
      </c>
      <c r="AB41" s="69">
        <v>1</v>
      </c>
      <c r="AE41" s="75"/>
      <c r="AF41" s="8"/>
      <c r="AG41" s="2">
        <f t="shared" si="0"/>
        <v>1</v>
      </c>
      <c r="AH41" s="78">
        <f t="shared" si="1"/>
        <v>10</v>
      </c>
    </row>
    <row r="42" spans="1:34" s="9" customFormat="1" x14ac:dyDescent="0.45">
      <c r="B42" s="13"/>
      <c r="C42" s="33" t="s">
        <v>377</v>
      </c>
      <c r="D42" s="33"/>
      <c r="E42" s="13" t="str">
        <f>IF(ISBLANK(A42),"neu",IF(ISBLANK(C42),"weg",IF(A42&lt;&gt;C42,"geändert","")))</f>
        <v>neu</v>
      </c>
      <c r="F42" s="13"/>
      <c r="G42" s="13"/>
      <c r="H42" s="87" t="s">
        <v>11</v>
      </c>
      <c r="I42" s="7"/>
      <c r="J42" s="114">
        <v>1</v>
      </c>
      <c r="K42" s="114">
        <v>1</v>
      </c>
      <c r="L42" s="1"/>
      <c r="M42" s="1"/>
      <c r="N42" s="1"/>
      <c r="O42" s="1">
        <v>1</v>
      </c>
      <c r="P42" s="1"/>
      <c r="Q42" s="1"/>
      <c r="R42" s="74">
        <v>1</v>
      </c>
      <c r="S42" s="10"/>
      <c r="T42" s="10"/>
      <c r="U42" s="10"/>
      <c r="V42" s="10"/>
      <c r="W42" s="10"/>
      <c r="X42" s="10"/>
      <c r="Y42" s="1"/>
      <c r="Z42" s="10"/>
      <c r="AA42" s="10"/>
      <c r="AB42" s="69">
        <v>1</v>
      </c>
      <c r="AC42" s="10"/>
      <c r="AD42" s="10"/>
      <c r="AE42" s="75"/>
      <c r="AF42" s="8"/>
      <c r="AG42" s="2">
        <f t="shared" si="0"/>
        <v>1</v>
      </c>
      <c r="AH42" s="78">
        <f t="shared" si="1"/>
        <v>10</v>
      </c>
    </row>
    <row r="43" spans="1:34" s="9" customFormat="1" x14ac:dyDescent="0.45">
      <c r="B43" s="13"/>
      <c r="C43" s="33" t="s">
        <v>378</v>
      </c>
      <c r="D43" s="33"/>
      <c r="E43" s="13" t="str">
        <f>IF(ISBLANK(A43),"neu",IF(ISBLANK(C43),"weg",IF(A43&lt;&gt;C43,"geändert","")))</f>
        <v>neu</v>
      </c>
      <c r="F43" s="13"/>
      <c r="G43" s="13"/>
      <c r="H43" s="87" t="s">
        <v>11</v>
      </c>
      <c r="I43" s="7"/>
      <c r="J43" s="114">
        <v>1</v>
      </c>
      <c r="K43" s="114">
        <v>1</v>
      </c>
      <c r="L43" s="1"/>
      <c r="M43" s="1"/>
      <c r="N43" s="1"/>
      <c r="O43" s="1">
        <v>1</v>
      </c>
      <c r="P43" s="1"/>
      <c r="Q43" s="1"/>
      <c r="R43" s="74">
        <v>1</v>
      </c>
      <c r="S43" s="10"/>
      <c r="T43" s="10"/>
      <c r="U43" s="10"/>
      <c r="V43" s="10"/>
      <c r="W43" s="10"/>
      <c r="X43" s="10"/>
      <c r="Y43" s="10"/>
      <c r="Z43" s="10"/>
      <c r="AA43" s="10"/>
      <c r="AB43" s="69">
        <v>1</v>
      </c>
      <c r="AC43" s="10"/>
      <c r="AD43" s="10"/>
      <c r="AE43" s="75"/>
      <c r="AF43" s="8"/>
      <c r="AG43" s="2">
        <f t="shared" si="0"/>
        <v>1</v>
      </c>
      <c r="AH43" s="78">
        <f t="shared" si="1"/>
        <v>10</v>
      </c>
    </row>
    <row r="44" spans="1:34" s="9" customFormat="1" x14ac:dyDescent="0.45">
      <c r="B44" s="13"/>
      <c r="C44" s="33" t="s">
        <v>379</v>
      </c>
      <c r="D44" s="33"/>
      <c r="E44" s="13" t="str">
        <f>IF(ISBLANK(A44),"neu",IF(ISBLANK(C44),"weg",IF(A44&lt;&gt;C44,"geändert","")))</f>
        <v>neu</v>
      </c>
      <c r="F44" s="13"/>
      <c r="G44" s="13"/>
      <c r="H44" s="87" t="s">
        <v>11</v>
      </c>
      <c r="I44" s="7"/>
      <c r="J44" s="114">
        <v>1</v>
      </c>
      <c r="K44" s="114">
        <v>1</v>
      </c>
      <c r="L44" s="1"/>
      <c r="M44" s="1"/>
      <c r="N44" s="1"/>
      <c r="O44" s="1">
        <v>1</v>
      </c>
      <c r="P44" s="1"/>
      <c r="Q44" s="1"/>
      <c r="R44" s="74">
        <v>1</v>
      </c>
      <c r="S44" s="10"/>
      <c r="T44" s="10"/>
      <c r="U44" s="10"/>
      <c r="V44" s="10"/>
      <c r="W44" s="10"/>
      <c r="X44" s="10"/>
      <c r="Y44" s="10"/>
      <c r="Z44" s="10"/>
      <c r="AA44" s="10"/>
      <c r="AB44" s="69">
        <v>1</v>
      </c>
      <c r="AC44" s="10"/>
      <c r="AD44" s="10"/>
      <c r="AE44" s="75"/>
      <c r="AF44" s="8"/>
      <c r="AG44" s="2">
        <f t="shared" si="0"/>
        <v>1</v>
      </c>
      <c r="AH44" s="78">
        <f t="shared" si="1"/>
        <v>10</v>
      </c>
    </row>
    <row r="45" spans="1:34" x14ac:dyDescent="0.45">
      <c r="C45" s="33" t="s">
        <v>380</v>
      </c>
      <c r="D45" s="33"/>
      <c r="E45" s="13" t="str">
        <f>IF(ISBLANK(A45),"neu",IF(ISBLANK(C45),"weg",IF(A45&lt;&gt;C45,"geändert","")))</f>
        <v>neu</v>
      </c>
      <c r="H45" s="87" t="s">
        <v>11</v>
      </c>
      <c r="I45" s="7"/>
      <c r="J45" s="114">
        <v>1</v>
      </c>
      <c r="K45" s="114">
        <v>1</v>
      </c>
      <c r="O45" s="1">
        <v>1</v>
      </c>
      <c r="R45" s="74">
        <v>1</v>
      </c>
      <c r="AB45" s="69">
        <v>1</v>
      </c>
      <c r="AE45" s="75"/>
      <c r="AF45" s="8"/>
      <c r="AG45" s="2">
        <f t="shared" si="0"/>
        <v>1</v>
      </c>
      <c r="AH45" s="78">
        <f t="shared" si="1"/>
        <v>10</v>
      </c>
    </row>
    <row r="46" spans="1:34" x14ac:dyDescent="0.45">
      <c r="C46" s="33" t="s">
        <v>381</v>
      </c>
      <c r="D46" s="33"/>
      <c r="E46" s="13" t="str">
        <f>IF(ISBLANK(A46),"neu",IF(ISBLANK(C46),"weg",IF(A46&lt;&gt;C46,"geändert","")))</f>
        <v>neu</v>
      </c>
      <c r="H46" s="87" t="s">
        <v>11</v>
      </c>
      <c r="I46" s="7"/>
      <c r="J46" s="114">
        <v>1</v>
      </c>
      <c r="K46" s="114">
        <v>1</v>
      </c>
      <c r="O46" s="1">
        <v>1</v>
      </c>
      <c r="R46" s="74">
        <v>1</v>
      </c>
      <c r="AB46" s="69">
        <v>1</v>
      </c>
      <c r="AE46" s="75"/>
      <c r="AF46" s="8"/>
      <c r="AG46" s="2">
        <f t="shared" si="0"/>
        <v>1</v>
      </c>
      <c r="AH46" s="78">
        <f t="shared" si="1"/>
        <v>10</v>
      </c>
    </row>
    <row r="47" spans="1:34" x14ac:dyDescent="0.45">
      <c r="C47" s="33" t="s">
        <v>382</v>
      </c>
      <c r="D47" s="33"/>
      <c r="E47" s="13" t="str">
        <f>IF(ISBLANK(A47),"neu",IF(ISBLANK(C47),"weg",IF(A47&lt;&gt;C47,"geändert","")))</f>
        <v>neu</v>
      </c>
      <c r="H47" s="87" t="s">
        <v>11</v>
      </c>
      <c r="I47" s="7"/>
      <c r="J47" s="114">
        <v>1</v>
      </c>
      <c r="K47" s="114">
        <v>1</v>
      </c>
      <c r="O47" s="1">
        <v>1</v>
      </c>
      <c r="R47" s="74">
        <v>1</v>
      </c>
      <c r="AB47" s="69">
        <v>1</v>
      </c>
      <c r="AE47" s="75"/>
      <c r="AF47" s="8"/>
      <c r="AG47" s="2">
        <f t="shared" si="0"/>
        <v>1</v>
      </c>
      <c r="AH47" s="78">
        <f t="shared" si="1"/>
        <v>10</v>
      </c>
    </row>
    <row r="48" spans="1:34" x14ac:dyDescent="0.45">
      <c r="A48" s="17"/>
      <c r="B48" t="s">
        <v>38</v>
      </c>
      <c r="C48" s="33" t="s">
        <v>383</v>
      </c>
      <c r="D48" s="33"/>
      <c r="E48" s="13" t="str">
        <f>IF(ISBLANK(A48),"neu",IF(ISBLANK(C48),"weg",IF(A48&lt;&gt;C48,"geändert","")))</f>
        <v>neu</v>
      </c>
      <c r="H48" s="87" t="s">
        <v>11</v>
      </c>
      <c r="I48" s="7"/>
      <c r="J48" s="114">
        <v>1</v>
      </c>
      <c r="K48" s="114">
        <v>1</v>
      </c>
      <c r="O48" s="1">
        <v>1</v>
      </c>
      <c r="R48" s="74">
        <v>1</v>
      </c>
      <c r="AB48" s="69">
        <v>1</v>
      </c>
      <c r="AE48" s="75"/>
      <c r="AF48" s="8"/>
      <c r="AG48" s="2">
        <f t="shared" si="0"/>
        <v>1</v>
      </c>
      <c r="AH48" s="78">
        <f t="shared" si="1"/>
        <v>10</v>
      </c>
    </row>
    <row r="49" spans="1:34" x14ac:dyDescent="0.45">
      <c r="A49" s="17"/>
      <c r="B49"/>
      <c r="C49" s="33" t="s">
        <v>384</v>
      </c>
      <c r="D49" s="33"/>
      <c r="E49" s="13" t="str">
        <f>IF(ISBLANK(A49),"neu",IF(ISBLANK(C49),"weg",IF(A49&lt;&gt;C49,"geändert","")))</f>
        <v>neu</v>
      </c>
      <c r="H49" s="87" t="s">
        <v>11</v>
      </c>
      <c r="I49" s="7"/>
      <c r="J49" s="114">
        <v>1</v>
      </c>
      <c r="K49" s="114">
        <v>1</v>
      </c>
      <c r="O49" s="1">
        <v>1</v>
      </c>
      <c r="R49" s="74">
        <v>1</v>
      </c>
      <c r="AB49" s="69">
        <v>1</v>
      </c>
      <c r="AE49" s="75"/>
      <c r="AF49" s="8"/>
      <c r="AG49" s="2">
        <f t="shared" si="0"/>
        <v>1</v>
      </c>
      <c r="AH49" s="78">
        <f t="shared" si="1"/>
        <v>10</v>
      </c>
    </row>
    <row r="50" spans="1:34" x14ac:dyDescent="0.45">
      <c r="A50" s="16" t="s">
        <v>360</v>
      </c>
      <c r="B50"/>
      <c r="C50" s="13" t="s">
        <v>390</v>
      </c>
      <c r="D50" s="13"/>
      <c r="E50" s="13" t="str">
        <f>IF(ISBLANK(A50),"neu",IF(ISBLANK(C50),"weg",IF(A50&lt;&gt;C50,"geändert","")))</f>
        <v>geändert</v>
      </c>
      <c r="H50" s="87" t="s">
        <v>11</v>
      </c>
      <c r="I50" s="7"/>
      <c r="J50" s="114">
        <v>1</v>
      </c>
      <c r="K50" s="114">
        <v>1</v>
      </c>
      <c r="L50" s="1">
        <v>1</v>
      </c>
      <c r="N50" s="1">
        <v>1</v>
      </c>
      <c r="O50" s="1">
        <v>1</v>
      </c>
      <c r="P50" s="1">
        <v>1</v>
      </c>
      <c r="R50" s="74">
        <v>1</v>
      </c>
      <c r="AB50" s="69">
        <v>1</v>
      </c>
      <c r="AE50" s="75"/>
      <c r="AF50" s="8"/>
      <c r="AG50" s="2">
        <f t="shared" si="0"/>
        <v>1</v>
      </c>
      <c r="AH50" s="78">
        <f t="shared" si="1"/>
        <v>10</v>
      </c>
    </row>
    <row r="51" spans="1:34" x14ac:dyDescent="0.45">
      <c r="A51" s="16"/>
      <c r="B51"/>
      <c r="C51" s="25" t="s">
        <v>391</v>
      </c>
      <c r="D51" s="25"/>
      <c r="E51" s="13"/>
      <c r="H51" s="87" t="s">
        <v>12</v>
      </c>
      <c r="I51" s="7"/>
      <c r="J51" s="116">
        <v>1</v>
      </c>
      <c r="K51" s="116">
        <v>1</v>
      </c>
      <c r="L51" s="1">
        <v>1</v>
      </c>
      <c r="N51" s="1">
        <v>1</v>
      </c>
      <c r="O51" s="1">
        <v>1</v>
      </c>
      <c r="P51" s="1">
        <v>1</v>
      </c>
      <c r="R51" s="74">
        <v>1</v>
      </c>
      <c r="AB51" s="69">
        <v>1</v>
      </c>
      <c r="AE51" s="75"/>
      <c r="AF51" s="8"/>
      <c r="AG51" s="2">
        <f t="shared" si="0"/>
        <v>1</v>
      </c>
      <c r="AH51" s="78">
        <f t="shared" si="1"/>
        <v>10</v>
      </c>
    </row>
    <row r="52" spans="1:34" x14ac:dyDescent="0.45">
      <c r="A52" s="16"/>
      <c r="B52"/>
      <c r="C52" s="25" t="s">
        <v>392</v>
      </c>
      <c r="D52" s="25"/>
      <c r="E52" s="13"/>
      <c r="H52" s="87" t="s">
        <v>12</v>
      </c>
      <c r="I52" s="7"/>
      <c r="J52" s="116">
        <v>1</v>
      </c>
      <c r="K52" s="116">
        <v>1</v>
      </c>
      <c r="O52" s="1">
        <v>1</v>
      </c>
      <c r="R52" s="74">
        <v>1</v>
      </c>
      <c r="AB52" s="69">
        <v>1</v>
      </c>
      <c r="AE52" s="75"/>
      <c r="AF52" s="8"/>
      <c r="AG52" s="2">
        <f t="shared" si="0"/>
        <v>1</v>
      </c>
      <c r="AH52" s="78">
        <f t="shared" si="1"/>
        <v>10</v>
      </c>
    </row>
    <row r="53" spans="1:34" x14ac:dyDescent="0.45">
      <c r="A53" s="16" t="s">
        <v>83</v>
      </c>
      <c r="B53" t="s">
        <v>39</v>
      </c>
      <c r="C53" s="13" t="s">
        <v>393</v>
      </c>
      <c r="D53" s="13"/>
      <c r="E53" s="13" t="str">
        <f>IF(ISBLANK(A53),"neu",IF(ISBLANK(C53),"weg",IF(A53&lt;&gt;C53,"geändert","")))</f>
        <v>geändert</v>
      </c>
      <c r="H53" s="87" t="s">
        <v>11</v>
      </c>
      <c r="I53" s="7"/>
      <c r="J53" s="1">
        <v>1</v>
      </c>
      <c r="K53" s="1">
        <v>1</v>
      </c>
      <c r="L53" s="1">
        <v>1</v>
      </c>
      <c r="N53" s="1">
        <v>1</v>
      </c>
      <c r="O53" s="1">
        <v>1</v>
      </c>
      <c r="P53" s="1">
        <v>1</v>
      </c>
      <c r="R53" s="74">
        <v>1</v>
      </c>
      <c r="AB53" s="69">
        <v>1</v>
      </c>
      <c r="AE53" s="75"/>
      <c r="AF53" s="8"/>
      <c r="AG53" s="2">
        <f t="shared" si="0"/>
        <v>1</v>
      </c>
      <c r="AH53" s="78">
        <f t="shared" si="1"/>
        <v>10</v>
      </c>
    </row>
    <row r="54" spans="1:34" s="9" customFormat="1" x14ac:dyDescent="0.45">
      <c r="A54" s="16" t="s">
        <v>84</v>
      </c>
      <c r="B54" t="s">
        <v>40</v>
      </c>
      <c r="C54" s="13" t="s">
        <v>394</v>
      </c>
      <c r="D54" s="13"/>
      <c r="E54" s="13" t="str">
        <f>IF(ISBLANK(A54),"neu",IF(ISBLANK(C54),"weg",IF(A54&lt;&gt;C54,"geändert","")))</f>
        <v>geändert</v>
      </c>
      <c r="F54" s="13"/>
      <c r="G54" s="13"/>
      <c r="H54" s="87" t="s">
        <v>11</v>
      </c>
      <c r="I54" s="7"/>
      <c r="J54" s="1">
        <v>1</v>
      </c>
      <c r="K54" s="1">
        <v>1</v>
      </c>
      <c r="L54" s="1">
        <v>1</v>
      </c>
      <c r="M54" s="1"/>
      <c r="N54" s="1">
        <v>1</v>
      </c>
      <c r="O54" s="1">
        <v>1</v>
      </c>
      <c r="P54" s="1">
        <v>1</v>
      </c>
      <c r="Q54" s="1"/>
      <c r="R54" s="74">
        <v>1</v>
      </c>
      <c r="S54" s="10"/>
      <c r="T54" s="10"/>
      <c r="U54" s="10"/>
      <c r="V54" s="10"/>
      <c r="W54" s="10"/>
      <c r="X54" s="10"/>
      <c r="Y54" s="10"/>
      <c r="Z54" s="10"/>
      <c r="AA54" s="10"/>
      <c r="AB54" s="69">
        <v>1</v>
      </c>
      <c r="AC54" s="10"/>
      <c r="AD54" s="10"/>
      <c r="AE54" s="75"/>
      <c r="AF54" s="8"/>
      <c r="AG54" s="2">
        <f t="shared" si="0"/>
        <v>1</v>
      </c>
      <c r="AH54" s="78">
        <f t="shared" si="1"/>
        <v>10</v>
      </c>
    </row>
    <row r="55" spans="1:34" x14ac:dyDescent="0.45">
      <c r="A55" s="16"/>
      <c r="C55" s="33" t="s">
        <v>395</v>
      </c>
      <c r="D55" s="13"/>
      <c r="E55" s="13" t="str">
        <f>IF(ISBLANK(A55),"neu",IF(ISBLANK(C55),"weg",IF(A55&lt;&gt;C55,"geändert","")))</f>
        <v>neu</v>
      </c>
      <c r="H55" s="87" t="s">
        <v>11</v>
      </c>
      <c r="I55" s="7"/>
      <c r="J55" s="1">
        <v>1</v>
      </c>
      <c r="K55" s="1">
        <v>1</v>
      </c>
      <c r="L55" s="1">
        <v>1</v>
      </c>
      <c r="N55" s="1">
        <v>1</v>
      </c>
      <c r="O55" s="1">
        <v>1</v>
      </c>
      <c r="P55" s="1">
        <v>1</v>
      </c>
      <c r="R55" s="74">
        <v>1</v>
      </c>
      <c r="AB55" s="69">
        <v>1</v>
      </c>
      <c r="AE55" s="75"/>
      <c r="AF55" s="8"/>
      <c r="AG55" s="2">
        <f t="shared" si="0"/>
        <v>1</v>
      </c>
      <c r="AH55" s="78">
        <f t="shared" si="1"/>
        <v>10</v>
      </c>
    </row>
    <row r="56" spans="1:34" x14ac:dyDescent="0.45">
      <c r="A56" s="16" t="s">
        <v>85</v>
      </c>
      <c r="C56" s="31" t="s">
        <v>396</v>
      </c>
      <c r="D56" s="31"/>
      <c r="E56" s="13" t="str">
        <f>IF(ISBLANK(A56),"neu",IF(ISBLANK(C56),"weg",IF(A56&lt;&gt;C56,"geändert","")))</f>
        <v>geändert</v>
      </c>
      <c r="H56" s="87" t="s">
        <v>11</v>
      </c>
      <c r="I56" s="7"/>
      <c r="J56" s="1">
        <v>1</v>
      </c>
      <c r="K56" s="1">
        <v>1</v>
      </c>
      <c r="L56" s="1">
        <v>1</v>
      </c>
      <c r="N56" s="1">
        <v>1</v>
      </c>
      <c r="O56" s="1">
        <v>1</v>
      </c>
      <c r="P56" s="1">
        <v>1</v>
      </c>
      <c r="R56" s="74">
        <v>1</v>
      </c>
      <c r="AB56" s="69">
        <v>1</v>
      </c>
      <c r="AE56" s="75"/>
      <c r="AF56" s="8"/>
      <c r="AG56" s="2">
        <f t="shared" si="0"/>
        <v>1</v>
      </c>
      <c r="AH56" s="78">
        <f t="shared" si="1"/>
        <v>10</v>
      </c>
    </row>
    <row r="57" spans="1:34" x14ac:dyDescent="0.45">
      <c r="A57" s="16" t="s">
        <v>86</v>
      </c>
      <c r="B57" t="s">
        <v>41</v>
      </c>
      <c r="C57" s="30" t="s">
        <v>375</v>
      </c>
      <c r="D57" s="35"/>
      <c r="E57" s="13" t="str">
        <f>IF(ISBLANK(A57),"neu",IF(ISBLANK(C57),"weg",IF(A57&lt;&gt;C57,"geändert","")))</f>
        <v>geändert</v>
      </c>
      <c r="H57" s="87"/>
      <c r="I57" s="7"/>
      <c r="R57" s="74" t="s">
        <v>731</v>
      </c>
      <c r="AE57" s="75"/>
      <c r="AF57" s="8"/>
      <c r="AG57" s="2" t="str">
        <f t="shared" si="0"/>
        <v/>
      </c>
      <c r="AH57" s="78" t="str">
        <f t="shared" si="1"/>
        <v/>
      </c>
    </row>
    <row r="58" spans="1:34" x14ac:dyDescent="0.45">
      <c r="A58" s="16" t="s">
        <v>87</v>
      </c>
      <c r="C58" s="13" t="s">
        <v>397</v>
      </c>
      <c r="D58" s="13"/>
      <c r="E58" s="13" t="str">
        <f>IF(ISBLANK(A58),"neu",IF(ISBLANK(C58),"weg",IF(A58&lt;&gt;C58,"geändert","")))</f>
        <v>geändert</v>
      </c>
      <c r="H58" s="87" t="s">
        <v>11</v>
      </c>
      <c r="I58" s="7"/>
      <c r="J58" s="1">
        <v>1</v>
      </c>
      <c r="K58" s="1">
        <v>1</v>
      </c>
      <c r="L58" s="1">
        <v>1</v>
      </c>
      <c r="N58" s="1">
        <v>1</v>
      </c>
      <c r="O58" s="1">
        <v>1</v>
      </c>
      <c r="P58" s="1">
        <v>1</v>
      </c>
      <c r="R58" s="74">
        <v>1</v>
      </c>
      <c r="AB58" s="69">
        <v>1</v>
      </c>
      <c r="AE58" s="75"/>
      <c r="AF58" s="8"/>
      <c r="AG58" s="2">
        <f t="shared" si="0"/>
        <v>1</v>
      </c>
      <c r="AH58" s="78">
        <f t="shared" si="1"/>
        <v>10</v>
      </c>
    </row>
    <row r="59" spans="1:34" x14ac:dyDescent="0.45">
      <c r="A59" s="16" t="s">
        <v>88</v>
      </c>
      <c r="B59" t="s">
        <v>42</v>
      </c>
      <c r="C59" s="13" t="s">
        <v>398</v>
      </c>
      <c r="D59" s="13" t="s">
        <v>408</v>
      </c>
      <c r="E59" s="13" t="str">
        <f>IF(ISBLANK(A59),"neu",IF(ISBLANK(C59),"weg",IF(A59&lt;&gt;C59,"geändert","")))</f>
        <v>geändert</v>
      </c>
      <c r="H59" s="87" t="s">
        <v>11</v>
      </c>
      <c r="I59" s="7"/>
      <c r="J59" s="1">
        <v>1</v>
      </c>
      <c r="K59" s="1">
        <v>1</v>
      </c>
      <c r="L59" s="1">
        <v>1</v>
      </c>
      <c r="N59" s="1">
        <v>1</v>
      </c>
      <c r="O59" s="1">
        <v>1</v>
      </c>
      <c r="P59" s="1">
        <v>1</v>
      </c>
      <c r="R59" s="74">
        <v>1</v>
      </c>
      <c r="AB59" s="69">
        <v>1</v>
      </c>
      <c r="AE59" s="75"/>
      <c r="AF59" s="8"/>
      <c r="AG59" s="2">
        <f t="shared" si="0"/>
        <v>1</v>
      </c>
      <c r="AH59" s="78">
        <f t="shared" si="1"/>
        <v>10</v>
      </c>
    </row>
    <row r="60" spans="1:34" s="9" customFormat="1" x14ac:dyDescent="0.45">
      <c r="B60" t="s">
        <v>43</v>
      </c>
      <c r="C60" s="33" t="s">
        <v>399</v>
      </c>
      <c r="D60" s="33"/>
      <c r="E60" s="13" t="str">
        <f>IF(ISBLANK(A60),"neu",IF(ISBLANK(C60),"weg",IF(A60&lt;&gt;C60,"geändert","")))</f>
        <v>neu</v>
      </c>
      <c r="F60" s="13"/>
      <c r="G60" s="13"/>
      <c r="H60" s="87" t="s">
        <v>11</v>
      </c>
      <c r="I60" s="7"/>
      <c r="J60" s="1">
        <v>1</v>
      </c>
      <c r="K60" s="1">
        <v>1</v>
      </c>
      <c r="L60" s="1">
        <v>1</v>
      </c>
      <c r="M60" s="1"/>
      <c r="N60" s="1">
        <v>1</v>
      </c>
      <c r="O60" s="1">
        <v>1</v>
      </c>
      <c r="P60" s="1">
        <v>1</v>
      </c>
      <c r="Q60" s="1"/>
      <c r="R60" s="74">
        <v>1</v>
      </c>
      <c r="S60" s="10"/>
      <c r="T60" s="10"/>
      <c r="U60" s="10"/>
      <c r="V60" s="10"/>
      <c r="W60" s="10"/>
      <c r="X60" s="10"/>
      <c r="Y60" s="10"/>
      <c r="Z60" s="10"/>
      <c r="AA60" s="10"/>
      <c r="AB60" s="69">
        <v>1</v>
      </c>
      <c r="AC60" s="10"/>
      <c r="AD60" s="10"/>
      <c r="AE60" s="75"/>
      <c r="AF60" s="8"/>
      <c r="AG60" s="2">
        <f t="shared" si="0"/>
        <v>1</v>
      </c>
      <c r="AH60" s="78">
        <f t="shared" si="1"/>
        <v>10</v>
      </c>
    </row>
    <row r="61" spans="1:34" s="9" customFormat="1" x14ac:dyDescent="0.45">
      <c r="A61" s="16" t="s">
        <v>237</v>
      </c>
      <c r="B61" t="s">
        <v>44</v>
      </c>
      <c r="C61" s="13" t="s">
        <v>237</v>
      </c>
      <c r="D61" s="13"/>
      <c r="E61" s="13" t="str">
        <f>IF(ISBLANK(A61),"neu",IF(ISBLANK(C61),"weg",IF(A61&lt;&gt;C61,"geändert","")))</f>
        <v/>
      </c>
      <c r="F61" s="13"/>
      <c r="G61" s="13"/>
      <c r="H61" s="87" t="s">
        <v>11</v>
      </c>
      <c r="I61" s="7"/>
      <c r="J61" s="1">
        <v>1</v>
      </c>
      <c r="K61" s="1">
        <v>1</v>
      </c>
      <c r="L61" s="1">
        <v>1</v>
      </c>
      <c r="M61" s="1"/>
      <c r="N61" s="1">
        <v>1</v>
      </c>
      <c r="O61" s="1">
        <v>1</v>
      </c>
      <c r="P61" s="1">
        <v>1</v>
      </c>
      <c r="Q61" s="1"/>
      <c r="R61" s="74">
        <v>1</v>
      </c>
      <c r="S61" s="10"/>
      <c r="T61" s="10"/>
      <c r="U61" s="10"/>
      <c r="V61" s="10"/>
      <c r="W61" s="10"/>
      <c r="Y61" s="10"/>
      <c r="Z61" s="10"/>
      <c r="AA61" s="10"/>
      <c r="AB61" s="69">
        <v>1</v>
      </c>
      <c r="AC61" s="10"/>
      <c r="AD61" s="10"/>
      <c r="AE61" s="75"/>
      <c r="AF61" s="8"/>
      <c r="AG61" s="2">
        <f t="shared" si="0"/>
        <v>1</v>
      </c>
      <c r="AH61" s="78">
        <f t="shared" si="1"/>
        <v>10</v>
      </c>
    </row>
    <row r="62" spans="1:34" s="9" customFormat="1" x14ac:dyDescent="0.45">
      <c r="A62" s="16"/>
      <c r="B62"/>
      <c r="C62" s="33" t="s">
        <v>400</v>
      </c>
      <c r="D62" s="33"/>
      <c r="E62" s="13" t="str">
        <f>IF(ISBLANK(A62),"neu",IF(ISBLANK(C62),"weg",IF(A62&lt;&gt;C62,"geändert","")))</f>
        <v>neu</v>
      </c>
      <c r="F62" s="13"/>
      <c r="G62" s="13"/>
      <c r="H62" s="87" t="s">
        <v>11</v>
      </c>
      <c r="I62" s="7"/>
      <c r="J62" s="1">
        <v>1</v>
      </c>
      <c r="K62" s="1">
        <v>1</v>
      </c>
      <c r="L62" s="1">
        <v>1</v>
      </c>
      <c r="M62" s="1"/>
      <c r="N62" s="1">
        <v>1</v>
      </c>
      <c r="O62" s="1">
        <v>1</v>
      </c>
      <c r="P62" s="1">
        <v>1</v>
      </c>
      <c r="Q62" s="1"/>
      <c r="R62" s="74">
        <v>1</v>
      </c>
      <c r="S62" s="10"/>
      <c r="T62" s="10"/>
      <c r="U62" s="10"/>
      <c r="V62" s="10"/>
      <c r="W62" s="10"/>
      <c r="Y62" s="10"/>
      <c r="Z62" s="10"/>
      <c r="AA62" s="10"/>
      <c r="AB62" s="69">
        <v>1</v>
      </c>
      <c r="AC62" s="10"/>
      <c r="AD62" s="10"/>
      <c r="AE62" s="75"/>
      <c r="AF62" s="8"/>
      <c r="AG62" s="2">
        <f t="shared" si="0"/>
        <v>1</v>
      </c>
      <c r="AH62" s="78">
        <f t="shared" si="1"/>
        <v>10</v>
      </c>
    </row>
    <row r="63" spans="1:34" s="9" customFormat="1" x14ac:dyDescent="0.45">
      <c r="A63" s="16" t="s">
        <v>90</v>
      </c>
      <c r="B63" t="s">
        <v>45</v>
      </c>
      <c r="C63" s="13" t="s">
        <v>90</v>
      </c>
      <c r="D63" s="13" t="s">
        <v>409</v>
      </c>
      <c r="E63" s="13" t="str">
        <f>IF(ISBLANK(A63),"neu",IF(ISBLANK(C63),"weg",IF(A63&lt;&gt;C63,"geändert","")))</f>
        <v/>
      </c>
      <c r="F63" s="13"/>
      <c r="G63" s="13"/>
      <c r="H63" s="87" t="s">
        <v>11</v>
      </c>
      <c r="I63" s="7"/>
      <c r="J63" s="1">
        <v>1</v>
      </c>
      <c r="K63" s="1">
        <v>1</v>
      </c>
      <c r="L63" s="1">
        <v>1</v>
      </c>
      <c r="M63" s="1"/>
      <c r="N63" s="1">
        <v>1</v>
      </c>
      <c r="O63" s="1">
        <v>1</v>
      </c>
      <c r="P63" s="1">
        <v>1</v>
      </c>
      <c r="Q63" s="1"/>
      <c r="R63" s="74">
        <v>1</v>
      </c>
      <c r="S63" s="10"/>
      <c r="T63" s="10"/>
      <c r="U63" s="10"/>
      <c r="V63" s="10"/>
      <c r="W63" s="10"/>
      <c r="Y63" s="10"/>
      <c r="Z63" s="10"/>
      <c r="AA63" s="10"/>
      <c r="AB63" s="69">
        <v>1</v>
      </c>
      <c r="AC63" s="10"/>
      <c r="AD63" s="10"/>
      <c r="AE63" s="75"/>
      <c r="AF63" s="8"/>
      <c r="AG63" s="2">
        <f t="shared" si="0"/>
        <v>1</v>
      </c>
      <c r="AH63" s="78">
        <f t="shared" si="1"/>
        <v>10</v>
      </c>
    </row>
    <row r="64" spans="1:34" s="9" customFormat="1" x14ac:dyDescent="0.45">
      <c r="A64" s="16"/>
      <c r="C64" s="33" t="s">
        <v>402</v>
      </c>
      <c r="E64" s="13" t="str">
        <f>IF(ISBLANK(A64),"neu",IF(ISBLANK(C64),"weg",IF(A64&lt;&gt;C64,"geändert","")))</f>
        <v>neu</v>
      </c>
      <c r="F64" s="13"/>
      <c r="G64" s="13"/>
      <c r="H64" s="87" t="s">
        <v>11</v>
      </c>
      <c r="I64" s="7"/>
      <c r="J64" s="1">
        <v>1</v>
      </c>
      <c r="K64" s="1">
        <v>1</v>
      </c>
      <c r="L64" s="1">
        <v>1</v>
      </c>
      <c r="M64" s="1"/>
      <c r="N64" s="1">
        <v>1</v>
      </c>
      <c r="O64" s="1">
        <v>1</v>
      </c>
      <c r="P64" s="1">
        <v>1</v>
      </c>
      <c r="Q64" s="1"/>
      <c r="R64" s="74">
        <v>1</v>
      </c>
      <c r="S64" s="10"/>
      <c r="T64" s="10"/>
      <c r="U64" s="10"/>
      <c r="V64" s="10"/>
      <c r="W64" s="10"/>
      <c r="Y64" s="10"/>
      <c r="Z64" s="10"/>
      <c r="AA64" s="10"/>
      <c r="AB64" s="69">
        <v>1</v>
      </c>
      <c r="AC64" s="10"/>
      <c r="AD64" s="10"/>
      <c r="AE64" s="75"/>
      <c r="AF64" s="8"/>
      <c r="AG64" s="2">
        <f t="shared" si="0"/>
        <v>1</v>
      </c>
      <c r="AH64" s="78">
        <f t="shared" si="1"/>
        <v>10</v>
      </c>
    </row>
    <row r="65" spans="1:34" s="9" customFormat="1" x14ac:dyDescent="0.45">
      <c r="A65" s="16"/>
      <c r="C65" s="33" t="s">
        <v>403</v>
      </c>
      <c r="E65" s="13" t="str">
        <f>IF(ISBLANK(A65),"neu",IF(ISBLANK(C65),"weg",IF(A65&lt;&gt;C65,"geändert","")))</f>
        <v>neu</v>
      </c>
      <c r="F65" s="13"/>
      <c r="G65" s="13"/>
      <c r="H65" s="87" t="s">
        <v>11</v>
      </c>
      <c r="I65" s="7"/>
      <c r="J65" s="1">
        <v>1</v>
      </c>
      <c r="K65" s="1">
        <v>1</v>
      </c>
      <c r="L65" s="1">
        <v>1</v>
      </c>
      <c r="M65" s="1"/>
      <c r="N65" s="1">
        <v>1</v>
      </c>
      <c r="O65" s="1">
        <v>1</v>
      </c>
      <c r="P65" s="1">
        <v>1</v>
      </c>
      <c r="Q65" s="1"/>
      <c r="R65" s="74">
        <v>1</v>
      </c>
      <c r="S65" s="10"/>
      <c r="T65" s="10"/>
      <c r="U65" s="10"/>
      <c r="V65" s="10"/>
      <c r="W65" s="10"/>
      <c r="Y65" s="10"/>
      <c r="Z65" s="10"/>
      <c r="AA65" s="10"/>
      <c r="AB65" s="69">
        <v>1</v>
      </c>
      <c r="AC65" s="10"/>
      <c r="AD65" s="10"/>
      <c r="AE65" s="75"/>
      <c r="AF65" s="8"/>
      <c r="AG65" s="2">
        <f t="shared" si="0"/>
        <v>1</v>
      </c>
      <c r="AH65" s="78">
        <f t="shared" si="1"/>
        <v>10</v>
      </c>
    </row>
    <row r="66" spans="1:34" s="9" customFormat="1" x14ac:dyDescent="0.45">
      <c r="A66" s="16"/>
      <c r="C66" s="33" t="s">
        <v>404</v>
      </c>
      <c r="D66" s="13" t="s">
        <v>411</v>
      </c>
      <c r="E66" s="13" t="str">
        <f>IF(ISBLANK(A66),"neu",IF(ISBLANK(C66),"weg",IF(A66&lt;&gt;C66,"geändert","")))</f>
        <v>neu</v>
      </c>
      <c r="F66" s="13"/>
      <c r="G66" s="13"/>
      <c r="H66" s="87" t="s">
        <v>11</v>
      </c>
      <c r="I66" s="7"/>
      <c r="J66" s="1">
        <v>1</v>
      </c>
      <c r="K66" s="1">
        <v>1</v>
      </c>
      <c r="L66" s="1">
        <v>1</v>
      </c>
      <c r="M66" s="1"/>
      <c r="N66" s="1">
        <v>1</v>
      </c>
      <c r="O66" s="1">
        <v>1</v>
      </c>
      <c r="P66" s="1">
        <v>1</v>
      </c>
      <c r="Q66" s="1"/>
      <c r="R66" s="74">
        <v>1</v>
      </c>
      <c r="S66" s="10"/>
      <c r="T66" s="10"/>
      <c r="U66" s="10"/>
      <c r="V66" s="10"/>
      <c r="W66" s="10"/>
      <c r="Y66" s="10"/>
      <c r="Z66" s="10"/>
      <c r="AA66" s="10"/>
      <c r="AB66" s="69">
        <v>1</v>
      </c>
      <c r="AC66" s="10"/>
      <c r="AD66" s="10"/>
      <c r="AE66" s="75"/>
      <c r="AF66" s="8"/>
      <c r="AG66" s="2">
        <f t="shared" ref="AG66:AG125" si="2">IF(SUM(S66:AF66)&gt;0,SUM(S66:AF66),"")</f>
        <v>1</v>
      </c>
      <c r="AH66" s="78">
        <f t="shared" ref="AH66:AH125" si="3">IF(SUM(S66:AF66)&lt;1,"",S66*1+T66*2+U66*3+V66*4+W66*5+X66*6+Y66*7+Z66*8+AA66*9+AB66*10+AC66*11+AD66*12+AE66*13+AF66*14)</f>
        <v>10</v>
      </c>
    </row>
    <row r="67" spans="1:34" s="9" customFormat="1" x14ac:dyDescent="0.45">
      <c r="A67" s="16"/>
      <c r="C67" s="33" t="s">
        <v>410</v>
      </c>
      <c r="E67" s="13" t="str">
        <f>IF(ISBLANK(A67),"neu",IF(ISBLANK(C67),"weg",IF(A67&lt;&gt;C67,"geändert","")))</f>
        <v>neu</v>
      </c>
      <c r="F67" s="13"/>
      <c r="G67" s="13"/>
      <c r="H67" s="87" t="s">
        <v>11</v>
      </c>
      <c r="I67" s="7"/>
      <c r="J67" s="1">
        <v>1</v>
      </c>
      <c r="K67" s="1">
        <v>1</v>
      </c>
      <c r="L67" s="1">
        <v>1</v>
      </c>
      <c r="M67" s="1"/>
      <c r="N67" s="1">
        <v>1</v>
      </c>
      <c r="O67" s="1">
        <v>1</v>
      </c>
      <c r="P67" s="1">
        <v>1</v>
      </c>
      <c r="Q67" s="1"/>
      <c r="R67" s="74">
        <v>1</v>
      </c>
      <c r="S67" s="10"/>
      <c r="T67" s="10"/>
      <c r="U67" s="10"/>
      <c r="V67" s="10"/>
      <c r="W67" s="10"/>
      <c r="Y67" s="10"/>
      <c r="Z67" s="10"/>
      <c r="AA67" s="10"/>
      <c r="AB67" s="69">
        <v>1</v>
      </c>
      <c r="AC67" s="10"/>
      <c r="AD67" s="10"/>
      <c r="AE67" s="75"/>
      <c r="AF67" s="8"/>
      <c r="AG67" s="2">
        <f t="shared" si="2"/>
        <v>1</v>
      </c>
      <c r="AH67" s="78">
        <f t="shared" si="3"/>
        <v>10</v>
      </c>
    </row>
    <row r="68" spans="1:34" s="9" customFormat="1" x14ac:dyDescent="0.45">
      <c r="A68" s="16"/>
      <c r="C68" s="33" t="s">
        <v>405</v>
      </c>
      <c r="D68" s="33"/>
      <c r="E68" s="13" t="str">
        <f>IF(ISBLANK(A68),"neu",IF(ISBLANK(C68),"weg",IF(A68&lt;&gt;C68,"geändert","")))</f>
        <v>neu</v>
      </c>
      <c r="F68" s="13"/>
      <c r="G68" s="13"/>
      <c r="H68" s="87" t="s">
        <v>11</v>
      </c>
      <c r="I68" s="7"/>
      <c r="J68" s="1">
        <v>1</v>
      </c>
      <c r="K68" s="1">
        <v>1</v>
      </c>
      <c r="L68" s="1">
        <v>1</v>
      </c>
      <c r="M68" s="1"/>
      <c r="N68" s="1">
        <v>1</v>
      </c>
      <c r="O68" s="1">
        <v>1</v>
      </c>
      <c r="P68" s="1">
        <v>1</v>
      </c>
      <c r="Q68" s="1"/>
      <c r="R68" s="74">
        <v>1</v>
      </c>
      <c r="S68" s="10"/>
      <c r="T68" s="10"/>
      <c r="U68" s="10"/>
      <c r="V68" s="10"/>
      <c r="W68" s="10"/>
      <c r="Y68" s="10"/>
      <c r="Z68" s="10"/>
      <c r="AA68" s="10"/>
      <c r="AB68" s="69">
        <v>1</v>
      </c>
      <c r="AC68" s="10"/>
      <c r="AD68" s="10"/>
      <c r="AE68" s="75"/>
      <c r="AF68" s="8"/>
      <c r="AG68" s="2">
        <f t="shared" si="2"/>
        <v>1</v>
      </c>
      <c r="AH68" s="78">
        <f t="shared" si="3"/>
        <v>10</v>
      </c>
    </row>
    <row r="69" spans="1:34" s="9" customFormat="1" x14ac:dyDescent="0.45">
      <c r="A69" s="16" t="s">
        <v>89</v>
      </c>
      <c r="B69" s="13"/>
      <c r="C69" s="13" t="s">
        <v>401</v>
      </c>
      <c r="D69" s="13"/>
      <c r="E69" s="13" t="str">
        <f>IF(ISBLANK(A69),"neu",IF(ISBLANK(C69),"weg",IF(A69&lt;&gt;C69,"geändert","")))</f>
        <v>geändert</v>
      </c>
      <c r="F69" s="13"/>
      <c r="G69" s="13"/>
      <c r="H69" s="87" t="s">
        <v>11</v>
      </c>
      <c r="I69" s="7"/>
      <c r="J69" s="1">
        <v>1</v>
      </c>
      <c r="K69" s="1">
        <v>1</v>
      </c>
      <c r="L69" s="1">
        <v>1</v>
      </c>
      <c r="M69" s="1"/>
      <c r="N69" s="1">
        <v>1</v>
      </c>
      <c r="O69" s="1">
        <v>1</v>
      </c>
      <c r="P69" s="1">
        <v>1</v>
      </c>
      <c r="Q69" s="1"/>
      <c r="R69" s="74">
        <v>1</v>
      </c>
      <c r="S69" s="10"/>
      <c r="T69" s="10"/>
      <c r="U69" s="10"/>
      <c r="V69" s="10"/>
      <c r="W69" s="10"/>
      <c r="Y69" s="10"/>
      <c r="Z69" s="10"/>
      <c r="AA69" s="10"/>
      <c r="AB69" s="69">
        <v>1</v>
      </c>
      <c r="AC69" s="10"/>
      <c r="AD69" s="10"/>
      <c r="AE69" s="75"/>
      <c r="AF69" s="8"/>
      <c r="AG69" s="2">
        <f t="shared" si="2"/>
        <v>1</v>
      </c>
      <c r="AH69" s="78">
        <f t="shared" si="3"/>
        <v>10</v>
      </c>
    </row>
    <row r="70" spans="1:34" s="9" customFormat="1" x14ac:dyDescent="0.45">
      <c r="A70" s="16" t="s">
        <v>91</v>
      </c>
      <c r="B70" t="s">
        <v>46</v>
      </c>
      <c r="C70" s="13" t="s">
        <v>91</v>
      </c>
      <c r="D70" s="13" t="s">
        <v>412</v>
      </c>
      <c r="E70" s="13" t="str">
        <f>IF(ISBLANK(A70),"neu",IF(ISBLANK(C70),"weg",IF(A70&lt;&gt;C70,"geändert","")))</f>
        <v/>
      </c>
      <c r="F70" s="13"/>
      <c r="G70" s="13"/>
      <c r="H70" s="87" t="s">
        <v>11</v>
      </c>
      <c r="I70" s="7"/>
      <c r="J70" s="1">
        <v>1</v>
      </c>
      <c r="K70" s="1">
        <v>1</v>
      </c>
      <c r="L70" s="1"/>
      <c r="M70" s="1"/>
      <c r="N70" s="1"/>
      <c r="O70" s="1">
        <v>1</v>
      </c>
      <c r="P70" s="1"/>
      <c r="Q70" s="1"/>
      <c r="R70" s="74">
        <v>1</v>
      </c>
      <c r="S70" s="10"/>
      <c r="T70" s="10"/>
      <c r="U70" s="10"/>
      <c r="V70" s="10"/>
      <c r="W70" s="10"/>
      <c r="Y70" s="10"/>
      <c r="Z70" s="10"/>
      <c r="AA70" s="10"/>
      <c r="AB70" s="69">
        <v>1</v>
      </c>
      <c r="AC70" s="10"/>
      <c r="AD70" s="10"/>
      <c r="AE70" s="75"/>
      <c r="AF70" s="8"/>
      <c r="AG70" s="2">
        <f t="shared" si="2"/>
        <v>1</v>
      </c>
      <c r="AH70" s="78">
        <f t="shared" si="3"/>
        <v>10</v>
      </c>
    </row>
    <row r="71" spans="1:34" s="9" customFormat="1" x14ac:dyDescent="0.45">
      <c r="A71" s="16" t="s">
        <v>92</v>
      </c>
      <c r="B71" t="s">
        <v>47</v>
      </c>
      <c r="C71" s="16" t="s">
        <v>92</v>
      </c>
      <c r="D71" s="13"/>
      <c r="E71" s="13" t="str">
        <f>IF(ISBLANK(A71),"neu",IF(ISBLANK(C71),"weg",IF(A71&lt;&gt;C71,"geändert","")))</f>
        <v/>
      </c>
      <c r="F71" s="13"/>
      <c r="G71" s="13"/>
      <c r="H71" s="87" t="s">
        <v>11</v>
      </c>
      <c r="I71" s="7"/>
      <c r="J71" s="1">
        <v>1</v>
      </c>
      <c r="K71" s="1">
        <v>1</v>
      </c>
      <c r="L71" s="1">
        <v>1</v>
      </c>
      <c r="M71" s="1"/>
      <c r="N71" s="1">
        <v>1</v>
      </c>
      <c r="O71" s="1">
        <v>1</v>
      </c>
      <c r="P71" s="1">
        <v>1</v>
      </c>
      <c r="Q71" s="1"/>
      <c r="R71" s="74">
        <v>1</v>
      </c>
      <c r="S71" s="10"/>
      <c r="T71" s="10"/>
      <c r="U71" s="10"/>
      <c r="V71" s="10"/>
      <c r="W71" s="10"/>
      <c r="Y71" s="10"/>
      <c r="Z71" s="10"/>
      <c r="AA71" s="10"/>
      <c r="AB71" s="69">
        <v>1</v>
      </c>
      <c r="AC71" s="10"/>
      <c r="AD71" s="10"/>
      <c r="AE71" s="75"/>
      <c r="AF71" s="8"/>
      <c r="AG71" s="2">
        <f t="shared" si="2"/>
        <v>1</v>
      </c>
      <c r="AH71" s="78">
        <f t="shared" si="3"/>
        <v>10</v>
      </c>
    </row>
    <row r="72" spans="1:34" s="9" customFormat="1" x14ac:dyDescent="0.45">
      <c r="A72" s="16" t="s">
        <v>93</v>
      </c>
      <c r="B72" t="s">
        <v>48</v>
      </c>
      <c r="C72" s="13" t="s">
        <v>93</v>
      </c>
      <c r="D72" s="13"/>
      <c r="E72" s="13" t="str">
        <f>IF(ISBLANK(A72),"neu",IF(ISBLANK(C72),"weg",IF(A72&lt;&gt;C72,"geändert","")))</f>
        <v/>
      </c>
      <c r="F72" s="13"/>
      <c r="G72" s="13"/>
      <c r="H72" s="87" t="s">
        <v>11</v>
      </c>
      <c r="I72" s="7"/>
      <c r="J72" s="1">
        <v>1</v>
      </c>
      <c r="K72" s="1">
        <v>1</v>
      </c>
      <c r="L72" s="1"/>
      <c r="M72" s="1"/>
      <c r="N72" s="1"/>
      <c r="O72" s="1">
        <v>1</v>
      </c>
      <c r="P72" s="1"/>
      <c r="Q72" s="1"/>
      <c r="R72" s="74">
        <v>1</v>
      </c>
      <c r="S72" s="10"/>
      <c r="T72" s="10"/>
      <c r="U72" s="10"/>
      <c r="V72" s="10"/>
      <c r="W72" s="10"/>
      <c r="Y72" s="10"/>
      <c r="Z72" s="10"/>
      <c r="AA72" s="10"/>
      <c r="AB72" s="69">
        <v>1</v>
      </c>
      <c r="AC72" s="10"/>
      <c r="AD72" s="10"/>
      <c r="AE72" s="75"/>
      <c r="AF72" s="8"/>
      <c r="AG72" s="2">
        <f t="shared" si="2"/>
        <v>1</v>
      </c>
      <c r="AH72" s="78">
        <f t="shared" si="3"/>
        <v>10</v>
      </c>
    </row>
    <row r="73" spans="1:34" s="9" customFormat="1" x14ac:dyDescent="0.45">
      <c r="A73" s="16" t="s">
        <v>94</v>
      </c>
      <c r="B73" t="s">
        <v>49</v>
      </c>
      <c r="C73" s="13" t="s">
        <v>94</v>
      </c>
      <c r="D73" s="13"/>
      <c r="E73" s="13" t="str">
        <f>IF(ISBLANK(A73),"neu",IF(ISBLANK(C73),"weg",IF(A73&lt;&gt;C73,"geändert","")))</f>
        <v/>
      </c>
      <c r="F73" s="13"/>
      <c r="G73" s="13"/>
      <c r="H73" s="87" t="s">
        <v>11</v>
      </c>
      <c r="I73" s="7"/>
      <c r="J73" s="1">
        <v>1</v>
      </c>
      <c r="K73" s="1">
        <v>1</v>
      </c>
      <c r="L73" s="1"/>
      <c r="M73" s="1"/>
      <c r="N73" s="1"/>
      <c r="O73" s="1">
        <v>1</v>
      </c>
      <c r="P73" s="1"/>
      <c r="Q73" s="1"/>
      <c r="R73" s="74">
        <v>1</v>
      </c>
      <c r="S73" s="10"/>
      <c r="T73" s="10"/>
      <c r="U73" s="10"/>
      <c r="V73" s="10"/>
      <c r="W73" s="10"/>
      <c r="Y73" s="10"/>
      <c r="Z73" s="10"/>
      <c r="AA73" s="10"/>
      <c r="AB73" s="69">
        <v>1</v>
      </c>
      <c r="AC73" s="10"/>
      <c r="AD73" s="10"/>
      <c r="AE73" s="75"/>
      <c r="AF73" s="8"/>
      <c r="AG73" s="2">
        <f t="shared" si="2"/>
        <v>1</v>
      </c>
      <c r="AH73" s="78">
        <f t="shared" si="3"/>
        <v>10</v>
      </c>
    </row>
    <row r="74" spans="1:34" s="9" customFormat="1" x14ac:dyDescent="0.45">
      <c r="A74" s="16" t="s">
        <v>95</v>
      </c>
      <c r="B74" t="s">
        <v>50</v>
      </c>
      <c r="C74" s="13" t="s">
        <v>95</v>
      </c>
      <c r="D74" s="13" t="s">
        <v>413</v>
      </c>
      <c r="E74" s="13" t="str">
        <f>IF(ISBLANK(A74),"neu",IF(ISBLANK(C74),"weg",IF(A74&lt;&gt;C74,"geändert","")))</f>
        <v/>
      </c>
      <c r="F74" s="13"/>
      <c r="G74" s="13"/>
      <c r="H74" s="87" t="s">
        <v>11</v>
      </c>
      <c r="I74" s="7"/>
      <c r="J74" s="1">
        <v>1</v>
      </c>
      <c r="K74" s="1">
        <v>1</v>
      </c>
      <c r="L74" s="1"/>
      <c r="M74" s="1"/>
      <c r="N74" s="1"/>
      <c r="O74" s="1">
        <v>1</v>
      </c>
      <c r="P74" s="1"/>
      <c r="Q74" s="1"/>
      <c r="R74" s="74">
        <v>1</v>
      </c>
      <c r="S74" s="10"/>
      <c r="T74" s="10"/>
      <c r="U74" s="10"/>
      <c r="V74" s="10"/>
      <c r="W74" s="10"/>
      <c r="Y74" s="10"/>
      <c r="Z74" s="10"/>
      <c r="AA74" s="10"/>
      <c r="AB74" s="69">
        <v>1</v>
      </c>
      <c r="AC74" s="10"/>
      <c r="AD74" s="10"/>
      <c r="AE74" s="75"/>
      <c r="AF74" s="8"/>
      <c r="AG74" s="2">
        <f t="shared" si="2"/>
        <v>1</v>
      </c>
      <c r="AH74" s="78">
        <f t="shared" si="3"/>
        <v>10</v>
      </c>
    </row>
    <row r="75" spans="1:34" s="9" customFormat="1" x14ac:dyDescent="0.45">
      <c r="A75" s="16" t="s">
        <v>96</v>
      </c>
      <c r="B75" t="s">
        <v>51</v>
      </c>
      <c r="C75" s="13" t="s">
        <v>406</v>
      </c>
      <c r="D75" s="13" t="s">
        <v>414</v>
      </c>
      <c r="E75" s="13" t="str">
        <f>IF(ISBLANK(A75),"neu",IF(ISBLANK(C75),"weg",IF(A75&lt;&gt;C75,"geändert","")))</f>
        <v>geändert</v>
      </c>
      <c r="F75" s="13"/>
      <c r="G75" s="13"/>
      <c r="H75" s="87" t="s">
        <v>11</v>
      </c>
      <c r="I75" s="7"/>
      <c r="J75" s="1">
        <v>1</v>
      </c>
      <c r="K75" s="1">
        <v>1</v>
      </c>
      <c r="L75" s="1">
        <v>1</v>
      </c>
      <c r="M75" s="1"/>
      <c r="N75" s="1">
        <v>1</v>
      </c>
      <c r="O75" s="1">
        <v>1</v>
      </c>
      <c r="P75" s="1">
        <v>1</v>
      </c>
      <c r="Q75" s="1"/>
      <c r="R75" s="74">
        <v>1</v>
      </c>
      <c r="S75" s="10"/>
      <c r="T75" s="10"/>
      <c r="U75" s="10"/>
      <c r="V75" s="10"/>
      <c r="W75" s="10"/>
      <c r="Y75" s="10"/>
      <c r="Z75" s="10"/>
      <c r="AA75" s="10"/>
      <c r="AB75" s="69">
        <v>1</v>
      </c>
      <c r="AC75" s="10"/>
      <c r="AD75" s="10"/>
      <c r="AE75" s="75"/>
      <c r="AF75" s="8"/>
      <c r="AG75" s="2">
        <f t="shared" si="2"/>
        <v>1</v>
      </c>
      <c r="AH75" s="78">
        <f t="shared" si="3"/>
        <v>10</v>
      </c>
    </row>
    <row r="76" spans="1:34" s="9" customFormat="1" x14ac:dyDescent="0.45">
      <c r="A76" s="16" t="s">
        <v>97</v>
      </c>
      <c r="B76" t="s">
        <v>52</v>
      </c>
      <c r="C76" s="16" t="s">
        <v>97</v>
      </c>
      <c r="D76" s="13" t="s">
        <v>415</v>
      </c>
      <c r="E76" s="13" t="str">
        <f>IF(ISBLANK(A76),"neu",IF(ISBLANK(C76),"weg",IF(A76&lt;&gt;C76,"geändert","")))</f>
        <v/>
      </c>
      <c r="F76" s="13"/>
      <c r="G76" s="13"/>
      <c r="H76" s="87" t="s">
        <v>11</v>
      </c>
      <c r="I76" s="7"/>
      <c r="J76" s="1">
        <v>1</v>
      </c>
      <c r="K76" s="1">
        <v>1</v>
      </c>
      <c r="L76" s="1"/>
      <c r="M76" s="1"/>
      <c r="N76" s="1"/>
      <c r="O76" s="1">
        <v>1</v>
      </c>
      <c r="P76" s="1"/>
      <c r="Q76" s="1"/>
      <c r="R76" s="74">
        <v>1</v>
      </c>
      <c r="S76" s="10"/>
      <c r="T76" s="10"/>
      <c r="U76" s="10"/>
      <c r="V76" s="10"/>
      <c r="W76" s="10"/>
      <c r="Y76" s="10"/>
      <c r="Z76" s="10"/>
      <c r="AA76" s="10"/>
      <c r="AB76" s="69">
        <v>1</v>
      </c>
      <c r="AC76" s="10"/>
      <c r="AD76" s="10"/>
      <c r="AE76" s="75"/>
      <c r="AF76" s="8"/>
      <c r="AG76" s="2">
        <f t="shared" si="2"/>
        <v>1</v>
      </c>
      <c r="AH76" s="78">
        <f t="shared" si="3"/>
        <v>10</v>
      </c>
    </row>
    <row r="77" spans="1:34" s="9" customFormat="1" x14ac:dyDescent="0.45">
      <c r="A77" s="25" t="s">
        <v>340</v>
      </c>
      <c r="B77" s="25"/>
      <c r="C77" s="25" t="s">
        <v>340</v>
      </c>
      <c r="D77" s="19"/>
      <c r="E77" s="13" t="str">
        <f>IF(ISBLANK(A77),"neu",IF(ISBLANK(C77),"weg",IF(A77&lt;&gt;C77,"geändert","")))</f>
        <v/>
      </c>
      <c r="F77" s="13"/>
      <c r="G77" s="13"/>
      <c r="H77" s="87" t="s">
        <v>12</v>
      </c>
      <c r="I77" s="7"/>
      <c r="J77" s="116">
        <v>1</v>
      </c>
      <c r="K77" s="116">
        <v>1</v>
      </c>
      <c r="L77" s="1">
        <v>1</v>
      </c>
      <c r="M77" s="1"/>
      <c r="N77" s="1">
        <v>1</v>
      </c>
      <c r="O77" s="1">
        <v>1</v>
      </c>
      <c r="P77" s="1">
        <v>1</v>
      </c>
      <c r="Q77" s="1"/>
      <c r="R77" s="74">
        <v>1</v>
      </c>
      <c r="S77" s="10"/>
      <c r="T77" s="10"/>
      <c r="U77" s="10"/>
      <c r="V77" s="10"/>
      <c r="W77" s="10"/>
      <c r="Y77" s="10"/>
      <c r="Z77" s="10"/>
      <c r="AA77" s="10"/>
      <c r="AB77" s="69">
        <v>1</v>
      </c>
      <c r="AC77" s="10"/>
      <c r="AD77" s="10"/>
      <c r="AE77" s="75"/>
      <c r="AF77" s="8"/>
      <c r="AG77" s="2">
        <f t="shared" si="2"/>
        <v>1</v>
      </c>
      <c r="AH77" s="78">
        <f t="shared" si="3"/>
        <v>10</v>
      </c>
    </row>
    <row r="78" spans="1:34" s="9" customFormat="1" x14ac:dyDescent="0.45">
      <c r="B78" s="13"/>
      <c r="C78" s="29" t="s">
        <v>368</v>
      </c>
      <c r="D78" s="26" t="s">
        <v>416</v>
      </c>
      <c r="E78" s="13" t="str">
        <f>IF(ISBLANK(A78),"neu",IF(ISBLANK(C78),"weg",IF(A78&lt;&gt;C78,"geändert","")))</f>
        <v>neu</v>
      </c>
      <c r="F78" s="13"/>
      <c r="G78" s="13"/>
      <c r="H78" s="87" t="s">
        <v>11</v>
      </c>
      <c r="I78" s="7"/>
      <c r="J78" s="1">
        <v>1</v>
      </c>
      <c r="K78" s="1">
        <v>1</v>
      </c>
      <c r="L78" s="1">
        <v>1</v>
      </c>
      <c r="M78" s="1"/>
      <c r="N78" s="1">
        <v>1</v>
      </c>
      <c r="O78" s="1">
        <v>1</v>
      </c>
      <c r="P78" s="1">
        <v>1</v>
      </c>
      <c r="Q78" s="1"/>
      <c r="R78" s="74">
        <v>1</v>
      </c>
      <c r="S78" s="10"/>
      <c r="T78" s="10"/>
      <c r="U78" s="10"/>
      <c r="V78" s="10"/>
      <c r="W78" s="10"/>
      <c r="Y78" s="10"/>
      <c r="Z78" s="10"/>
      <c r="AA78" s="10"/>
      <c r="AB78" s="69">
        <v>1</v>
      </c>
      <c r="AC78" s="10"/>
      <c r="AD78" s="10"/>
      <c r="AE78" s="75"/>
      <c r="AF78" s="8"/>
      <c r="AG78" s="2">
        <f t="shared" si="2"/>
        <v>1</v>
      </c>
      <c r="AH78" s="78">
        <f t="shared" si="3"/>
        <v>10</v>
      </c>
    </row>
    <row r="79" spans="1:34" s="9" customFormat="1" x14ac:dyDescent="0.45">
      <c r="B79" s="13"/>
      <c r="C79" s="29" t="s">
        <v>369</v>
      </c>
      <c r="D79" s="26" t="s">
        <v>417</v>
      </c>
      <c r="E79" s="13" t="str">
        <f>IF(ISBLANK(A79),"neu",IF(ISBLANK(C79),"weg",IF(A79&lt;&gt;C79,"geändert","")))</f>
        <v>neu</v>
      </c>
      <c r="F79" s="13"/>
      <c r="G79" s="13"/>
      <c r="H79" s="87" t="s">
        <v>11</v>
      </c>
      <c r="I79" s="7"/>
      <c r="J79" s="1">
        <v>1</v>
      </c>
      <c r="K79" s="1">
        <v>1</v>
      </c>
      <c r="L79" s="1">
        <v>1</v>
      </c>
      <c r="M79" s="1"/>
      <c r="N79" s="1">
        <v>1</v>
      </c>
      <c r="O79" s="1">
        <v>1</v>
      </c>
      <c r="P79" s="1">
        <v>1</v>
      </c>
      <c r="Q79" s="1"/>
      <c r="R79" s="74">
        <v>1</v>
      </c>
      <c r="S79" s="10"/>
      <c r="T79" s="10"/>
      <c r="U79" s="10"/>
      <c r="V79" s="10"/>
      <c r="W79" s="10"/>
      <c r="Y79" s="10"/>
      <c r="Z79" s="10"/>
      <c r="AA79" s="10"/>
      <c r="AB79" s="69">
        <v>1</v>
      </c>
      <c r="AC79" s="10"/>
      <c r="AD79" s="10"/>
      <c r="AE79" s="75"/>
      <c r="AF79" s="8"/>
      <c r="AG79" s="2">
        <f t="shared" si="2"/>
        <v>1</v>
      </c>
      <c r="AH79" s="78">
        <f t="shared" si="3"/>
        <v>10</v>
      </c>
    </row>
    <row r="80" spans="1:34" s="9" customFormat="1" x14ac:dyDescent="0.45">
      <c r="A80" s="16" t="s">
        <v>98</v>
      </c>
      <c r="B80" s="13"/>
      <c r="C80" s="13" t="s">
        <v>444</v>
      </c>
      <c r="D80" s="13"/>
      <c r="E80" s="13" t="str">
        <f>IF(ISBLANK(A80),"neu",IF(ISBLANK(C80),"weg",IF(A80&lt;&gt;C80,"geändert","")))</f>
        <v>geändert</v>
      </c>
      <c r="F80" s="13"/>
      <c r="G80" s="13"/>
      <c r="H80" s="87" t="s">
        <v>11</v>
      </c>
      <c r="I80" s="7"/>
      <c r="J80" s="1">
        <v>1</v>
      </c>
      <c r="K80" s="1">
        <v>1</v>
      </c>
      <c r="L80" s="1">
        <v>1</v>
      </c>
      <c r="M80" s="1"/>
      <c r="N80" s="1">
        <v>1</v>
      </c>
      <c r="O80" s="1">
        <v>1</v>
      </c>
      <c r="P80" s="1">
        <v>1</v>
      </c>
      <c r="Q80" s="1"/>
      <c r="R80" s="74">
        <v>1</v>
      </c>
      <c r="S80" s="10"/>
      <c r="T80" s="10"/>
      <c r="U80" s="10"/>
      <c r="V80" s="10"/>
      <c r="W80" s="69">
        <v>1</v>
      </c>
      <c r="Y80" s="10"/>
      <c r="Z80" s="10"/>
      <c r="AA80" s="10"/>
      <c r="AB80" s="10"/>
      <c r="AC80" s="10"/>
      <c r="AD80" s="10"/>
      <c r="AE80" s="75"/>
      <c r="AF80" s="8"/>
      <c r="AG80" s="2">
        <f t="shared" si="2"/>
        <v>1</v>
      </c>
      <c r="AH80" s="78">
        <f t="shared" si="3"/>
        <v>5</v>
      </c>
    </row>
    <row r="81" spans="1:34" s="9" customFormat="1" x14ac:dyDescent="0.45">
      <c r="A81" s="16" t="s">
        <v>99</v>
      </c>
      <c r="B81" s="13"/>
      <c r="C81" s="13" t="s">
        <v>445</v>
      </c>
      <c r="D81" s="13"/>
      <c r="E81" s="13" t="str">
        <f>IF(ISBLANK(A81),"neu",IF(ISBLANK(C81),"weg",IF(A81&lt;&gt;C81,"geändert","")))</f>
        <v>geändert</v>
      </c>
      <c r="F81" s="13"/>
      <c r="G81" s="13"/>
      <c r="H81" s="87" t="s">
        <v>11</v>
      </c>
      <c r="I81" s="7"/>
      <c r="J81" s="1">
        <v>1</v>
      </c>
      <c r="K81" s="1">
        <v>1</v>
      </c>
      <c r="L81" s="1">
        <v>1</v>
      </c>
      <c r="M81" s="1"/>
      <c r="N81" s="1">
        <v>1</v>
      </c>
      <c r="O81" s="1">
        <v>1</v>
      </c>
      <c r="P81" s="1">
        <v>1</v>
      </c>
      <c r="Q81" s="1"/>
      <c r="R81" s="74">
        <v>1</v>
      </c>
      <c r="S81" s="10"/>
      <c r="T81" s="10"/>
      <c r="U81" s="10"/>
      <c r="V81" s="10"/>
      <c r="W81" s="69">
        <v>1</v>
      </c>
      <c r="Y81" s="10"/>
      <c r="Z81" s="10"/>
      <c r="AA81" s="10"/>
      <c r="AB81" s="10"/>
      <c r="AC81" s="10"/>
      <c r="AD81" s="10"/>
      <c r="AE81" s="75"/>
      <c r="AF81" s="8"/>
      <c r="AG81" s="2">
        <f t="shared" si="2"/>
        <v>1</v>
      </c>
      <c r="AH81" s="78">
        <f t="shared" si="3"/>
        <v>5</v>
      </c>
    </row>
    <row r="82" spans="1:34" s="9" customFormat="1" x14ac:dyDescent="0.45">
      <c r="A82" s="16" t="s">
        <v>100</v>
      </c>
      <c r="B82" s="13"/>
      <c r="C82" s="13" t="s">
        <v>446</v>
      </c>
      <c r="D82" s="13"/>
      <c r="E82" s="13" t="str">
        <f>IF(ISBLANK(A82),"neu",IF(ISBLANK(C82),"weg",IF(A82&lt;&gt;C82,"geändert","")))</f>
        <v>geändert</v>
      </c>
      <c r="F82" s="13"/>
      <c r="G82" s="13"/>
      <c r="H82" s="87" t="s">
        <v>11</v>
      </c>
      <c r="I82" s="7"/>
      <c r="J82" s="1">
        <v>1</v>
      </c>
      <c r="K82" s="1">
        <v>1</v>
      </c>
      <c r="L82" s="1">
        <v>1</v>
      </c>
      <c r="M82" s="1"/>
      <c r="N82" s="1">
        <v>1</v>
      </c>
      <c r="O82" s="1">
        <v>1</v>
      </c>
      <c r="P82" s="1">
        <v>1</v>
      </c>
      <c r="Q82" s="1"/>
      <c r="R82" s="74">
        <v>1</v>
      </c>
      <c r="S82" s="10"/>
      <c r="T82" s="10"/>
      <c r="U82" s="10"/>
      <c r="V82" s="10"/>
      <c r="W82" s="69">
        <v>1</v>
      </c>
      <c r="Y82" s="10"/>
      <c r="Z82" s="10"/>
      <c r="AA82" s="10"/>
      <c r="AB82" s="10"/>
      <c r="AC82" s="10"/>
      <c r="AD82" s="10"/>
      <c r="AE82" s="75"/>
      <c r="AF82" s="8"/>
      <c r="AG82" s="2">
        <f t="shared" si="2"/>
        <v>1</v>
      </c>
      <c r="AH82" s="78">
        <f t="shared" si="3"/>
        <v>5</v>
      </c>
    </row>
    <row r="83" spans="1:34" s="9" customFormat="1" x14ac:dyDescent="0.45">
      <c r="A83" s="16" t="s">
        <v>101</v>
      </c>
      <c r="B83" s="13"/>
      <c r="C83" s="13" t="s">
        <v>447</v>
      </c>
      <c r="D83" s="13"/>
      <c r="E83" s="13" t="str">
        <f>IF(ISBLANK(A83),"neu",IF(ISBLANK(C83),"weg",IF(A83&lt;&gt;C83,"geändert","")))</f>
        <v>geändert</v>
      </c>
      <c r="F83" s="13"/>
      <c r="G83" s="13"/>
      <c r="H83" s="87" t="s">
        <v>11</v>
      </c>
      <c r="I83" s="7"/>
      <c r="J83" s="1">
        <v>1</v>
      </c>
      <c r="K83" s="1">
        <v>1</v>
      </c>
      <c r="L83" s="1">
        <v>1</v>
      </c>
      <c r="M83" s="1"/>
      <c r="N83" s="1">
        <v>1</v>
      </c>
      <c r="O83" s="1">
        <v>1</v>
      </c>
      <c r="P83" s="1">
        <v>1</v>
      </c>
      <c r="Q83" s="1"/>
      <c r="R83" s="74">
        <v>1</v>
      </c>
      <c r="S83" s="10"/>
      <c r="T83" s="10"/>
      <c r="U83" s="10"/>
      <c r="V83" s="10"/>
      <c r="W83" s="69">
        <v>1</v>
      </c>
      <c r="Y83" s="10"/>
      <c r="Z83" s="10"/>
      <c r="AA83" s="10"/>
      <c r="AB83" s="10"/>
      <c r="AC83" s="10"/>
      <c r="AD83" s="10"/>
      <c r="AE83" s="75"/>
      <c r="AF83" s="8"/>
      <c r="AG83" s="2">
        <f t="shared" si="2"/>
        <v>1</v>
      </c>
      <c r="AH83" s="78">
        <f t="shared" si="3"/>
        <v>5</v>
      </c>
    </row>
    <row r="84" spans="1:34" s="9" customFormat="1" x14ac:dyDescent="0.45">
      <c r="A84" s="16" t="s">
        <v>102</v>
      </c>
      <c r="B84" s="13"/>
      <c r="C84" s="13" t="s">
        <v>102</v>
      </c>
      <c r="D84" s="13"/>
      <c r="E84" s="13" t="str">
        <f>IF(ISBLANK(A84),"neu",IF(ISBLANK(C84),"weg",IF(A84&lt;&gt;C84,"geändert","")))</f>
        <v/>
      </c>
      <c r="F84" s="13"/>
      <c r="G84" s="13"/>
      <c r="H84" s="87" t="s">
        <v>11</v>
      </c>
      <c r="I84" s="7"/>
      <c r="J84" s="1">
        <v>1</v>
      </c>
      <c r="K84" s="1">
        <v>1</v>
      </c>
      <c r="L84" s="1">
        <v>1</v>
      </c>
      <c r="M84" s="1"/>
      <c r="N84" s="1">
        <v>1</v>
      </c>
      <c r="O84" s="1">
        <v>1</v>
      </c>
      <c r="P84" s="1">
        <v>1</v>
      </c>
      <c r="Q84" s="1"/>
      <c r="R84" s="74">
        <v>1</v>
      </c>
      <c r="S84" s="10"/>
      <c r="T84" s="10"/>
      <c r="U84" s="10"/>
      <c r="V84" s="10"/>
      <c r="W84" s="69">
        <v>1</v>
      </c>
      <c r="Y84" s="10"/>
      <c r="Z84" s="10"/>
      <c r="AA84" s="10"/>
      <c r="AB84" s="10"/>
      <c r="AC84" s="10"/>
      <c r="AD84" s="10"/>
      <c r="AE84" s="75"/>
      <c r="AF84" s="8"/>
      <c r="AG84" s="2">
        <f t="shared" si="2"/>
        <v>1</v>
      </c>
      <c r="AH84" s="78">
        <f t="shared" si="3"/>
        <v>5</v>
      </c>
    </row>
    <row r="85" spans="1:34" s="9" customFormat="1" x14ac:dyDescent="0.45">
      <c r="A85" s="16" t="s">
        <v>103</v>
      </c>
      <c r="B85" s="13"/>
      <c r="C85" s="13" t="s">
        <v>103</v>
      </c>
      <c r="D85" s="13"/>
      <c r="E85" s="13" t="str">
        <f>IF(ISBLANK(A85),"neu",IF(ISBLANK(C85),"weg",IF(A85&lt;&gt;C85,"geändert","")))</f>
        <v/>
      </c>
      <c r="F85" s="13"/>
      <c r="G85" s="13"/>
      <c r="H85" s="87" t="s">
        <v>11</v>
      </c>
      <c r="I85" s="7"/>
      <c r="J85" s="1">
        <v>1</v>
      </c>
      <c r="K85" s="1">
        <v>1</v>
      </c>
      <c r="L85" s="1"/>
      <c r="M85" s="1"/>
      <c r="N85" s="1"/>
      <c r="O85" s="1"/>
      <c r="P85" s="1">
        <v>1</v>
      </c>
      <c r="Q85" s="1"/>
      <c r="R85" s="74">
        <v>1</v>
      </c>
      <c r="S85" s="10"/>
      <c r="T85" s="10"/>
      <c r="U85" s="10"/>
      <c r="V85" s="10"/>
      <c r="W85" s="69">
        <v>1</v>
      </c>
      <c r="Y85" s="10"/>
      <c r="Z85" s="10"/>
      <c r="AA85" s="10"/>
      <c r="AB85" s="10"/>
      <c r="AC85" s="10"/>
      <c r="AD85" s="10"/>
      <c r="AE85" s="75"/>
      <c r="AF85" s="8"/>
      <c r="AG85" s="2">
        <f t="shared" si="2"/>
        <v>1</v>
      </c>
      <c r="AH85" s="78">
        <f t="shared" si="3"/>
        <v>5</v>
      </c>
    </row>
    <row r="86" spans="1:34" s="9" customFormat="1" x14ac:dyDescent="0.45">
      <c r="A86" s="16" t="s">
        <v>104</v>
      </c>
      <c r="B86" s="13"/>
      <c r="C86" s="13" t="s">
        <v>104</v>
      </c>
      <c r="D86" s="13"/>
      <c r="E86" s="13" t="str">
        <f>IF(ISBLANK(A86),"neu",IF(ISBLANK(C86),"weg",IF(A86&lt;&gt;C86,"geändert","")))</f>
        <v/>
      </c>
      <c r="F86" s="13"/>
      <c r="G86" s="13"/>
      <c r="H86" s="87" t="s">
        <v>11</v>
      </c>
      <c r="I86" s="7"/>
      <c r="J86" s="1">
        <v>1</v>
      </c>
      <c r="K86" s="1">
        <v>1</v>
      </c>
      <c r="L86" s="1"/>
      <c r="M86" s="1"/>
      <c r="N86" s="1"/>
      <c r="O86" s="1"/>
      <c r="P86" s="1">
        <v>1</v>
      </c>
      <c r="Q86" s="1"/>
      <c r="R86" s="74">
        <v>1</v>
      </c>
      <c r="S86" s="10"/>
      <c r="T86" s="10"/>
      <c r="U86" s="10"/>
      <c r="V86" s="10"/>
      <c r="W86" s="69">
        <v>1</v>
      </c>
      <c r="Y86" s="10"/>
      <c r="Z86" s="10"/>
      <c r="AA86" s="10"/>
      <c r="AB86" s="10"/>
      <c r="AC86" s="10"/>
      <c r="AD86" s="10"/>
      <c r="AE86" s="75"/>
      <c r="AF86" s="8"/>
      <c r="AG86" s="2">
        <f t="shared" si="2"/>
        <v>1</v>
      </c>
      <c r="AH86" s="78">
        <f t="shared" si="3"/>
        <v>5</v>
      </c>
    </row>
    <row r="87" spans="1:34" s="9" customFormat="1" x14ac:dyDescent="0.45">
      <c r="A87" s="16" t="s">
        <v>105</v>
      </c>
      <c r="B87" s="13"/>
      <c r="C87" s="13" t="s">
        <v>105</v>
      </c>
      <c r="D87" s="13"/>
      <c r="E87" s="13" t="str">
        <f>IF(ISBLANK(A87),"neu",IF(ISBLANK(C87),"weg",IF(A87&lt;&gt;C87,"geändert","")))</f>
        <v/>
      </c>
      <c r="F87" s="13"/>
      <c r="G87" s="13"/>
      <c r="H87" s="87" t="s">
        <v>11</v>
      </c>
      <c r="I87" s="7"/>
      <c r="J87" s="1">
        <v>1</v>
      </c>
      <c r="K87" s="1">
        <v>1</v>
      </c>
      <c r="L87" s="1"/>
      <c r="M87" s="1"/>
      <c r="N87" s="1"/>
      <c r="O87" s="1"/>
      <c r="P87" s="1">
        <v>1</v>
      </c>
      <c r="Q87" s="1"/>
      <c r="R87" s="74">
        <v>1</v>
      </c>
      <c r="S87" s="10"/>
      <c r="T87" s="10"/>
      <c r="U87" s="10"/>
      <c r="V87" s="10"/>
      <c r="W87" s="69">
        <v>1</v>
      </c>
      <c r="Y87" s="10"/>
      <c r="Z87" s="10"/>
      <c r="AA87" s="10"/>
      <c r="AB87" s="10"/>
      <c r="AC87" s="10"/>
      <c r="AD87" s="10"/>
      <c r="AE87" s="75"/>
      <c r="AF87" s="8"/>
      <c r="AG87" s="2">
        <f t="shared" si="2"/>
        <v>1</v>
      </c>
      <c r="AH87" s="78">
        <f t="shared" si="3"/>
        <v>5</v>
      </c>
    </row>
    <row r="88" spans="1:34" s="9" customFormat="1" x14ac:dyDescent="0.45">
      <c r="A88" s="16" t="s">
        <v>106</v>
      </c>
      <c r="B88" s="13"/>
      <c r="C88" s="13" t="s">
        <v>448</v>
      </c>
      <c r="D88" s="13"/>
      <c r="E88" s="13" t="str">
        <f>IF(ISBLANK(A88),"neu",IF(ISBLANK(C88),"weg",IF(A88&lt;&gt;C88,"geändert","")))</f>
        <v>geändert</v>
      </c>
      <c r="F88" s="13"/>
      <c r="G88" s="13"/>
      <c r="H88" s="87" t="s">
        <v>11</v>
      </c>
      <c r="I88" s="7"/>
      <c r="J88" s="1">
        <v>1</v>
      </c>
      <c r="K88" s="1">
        <v>1</v>
      </c>
      <c r="L88" s="1">
        <v>1</v>
      </c>
      <c r="M88" s="1"/>
      <c r="N88" s="1">
        <v>1</v>
      </c>
      <c r="O88" s="1">
        <v>1</v>
      </c>
      <c r="P88" s="1">
        <v>1</v>
      </c>
      <c r="Q88" s="1"/>
      <c r="R88" s="74">
        <v>1</v>
      </c>
      <c r="S88" s="10"/>
      <c r="T88" s="10"/>
      <c r="U88" s="10"/>
      <c r="V88" s="10"/>
      <c r="W88" s="69">
        <v>1</v>
      </c>
      <c r="Y88" s="10"/>
      <c r="Z88" s="10"/>
      <c r="AA88" s="10"/>
      <c r="AB88" s="10"/>
      <c r="AC88" s="10"/>
      <c r="AD88" s="10"/>
      <c r="AE88" s="75"/>
      <c r="AF88" s="8"/>
      <c r="AG88" s="2">
        <f t="shared" si="2"/>
        <v>1</v>
      </c>
      <c r="AH88" s="78">
        <f t="shared" si="3"/>
        <v>5</v>
      </c>
    </row>
    <row r="89" spans="1:34" s="9" customFormat="1" x14ac:dyDescent="0.45">
      <c r="A89" s="24" t="s">
        <v>109</v>
      </c>
      <c r="B89" s="13"/>
      <c r="C89" s="16" t="s">
        <v>238</v>
      </c>
      <c r="D89" s="16"/>
      <c r="E89" s="13" t="str">
        <f>IF(ISBLANK(A89),"neu",IF(ISBLANK(C89),"weg",IF(A89&lt;&gt;C89,"geändert","")))</f>
        <v>geändert</v>
      </c>
      <c r="F89" s="13"/>
      <c r="G89" s="13"/>
      <c r="H89" t="s">
        <v>11</v>
      </c>
      <c r="I89" s="7"/>
      <c r="J89" s="1"/>
      <c r="K89" s="1"/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/>
      <c r="R89" s="74">
        <v>1</v>
      </c>
      <c r="S89" s="10"/>
      <c r="T89" s="10"/>
      <c r="U89" s="10"/>
      <c r="V89" s="69">
        <v>1</v>
      </c>
      <c r="W89" s="10"/>
      <c r="Y89" s="10"/>
      <c r="Z89" s="10"/>
      <c r="AA89" s="10"/>
      <c r="AB89" s="10"/>
      <c r="AC89" s="10"/>
      <c r="AD89" s="10"/>
      <c r="AE89" s="75"/>
      <c r="AF89" s="8"/>
      <c r="AG89" s="2">
        <f t="shared" si="2"/>
        <v>1</v>
      </c>
      <c r="AH89" s="78">
        <f t="shared" si="3"/>
        <v>4</v>
      </c>
    </row>
    <row r="90" spans="1:34" s="9" customFormat="1" x14ac:dyDescent="0.45">
      <c r="A90" s="24" t="s">
        <v>110</v>
      </c>
      <c r="B90" s="13"/>
      <c r="C90" s="16" t="s">
        <v>110</v>
      </c>
      <c r="D90" s="16"/>
      <c r="E90" s="13" t="str">
        <f>IF(ISBLANK(A90),"neu",IF(ISBLANK(C90),"weg",IF(A90&lt;&gt;C90,"geändert","")))</f>
        <v/>
      </c>
      <c r="F90" s="13"/>
      <c r="G90" s="13"/>
      <c r="H90" t="s">
        <v>11</v>
      </c>
      <c r="I90" s="7"/>
      <c r="J90" s="1"/>
      <c r="K90" s="1"/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/>
      <c r="R90" s="74">
        <v>1</v>
      </c>
      <c r="S90" s="10"/>
      <c r="T90" s="10"/>
      <c r="U90" s="10"/>
      <c r="V90" s="69">
        <v>1</v>
      </c>
      <c r="W90" s="10"/>
      <c r="Y90" s="10"/>
      <c r="Z90" s="10"/>
      <c r="AA90" s="10"/>
      <c r="AB90" s="10"/>
      <c r="AC90" s="10"/>
      <c r="AD90" s="10"/>
      <c r="AE90" s="75"/>
      <c r="AF90" s="8"/>
      <c r="AG90" s="2">
        <f t="shared" si="2"/>
        <v>1</v>
      </c>
      <c r="AH90" s="78">
        <f t="shared" si="3"/>
        <v>4</v>
      </c>
    </row>
    <row r="91" spans="1:34" s="9" customFormat="1" x14ac:dyDescent="0.45">
      <c r="A91" s="24" t="s">
        <v>111</v>
      </c>
      <c r="B91" s="13"/>
      <c r="C91" s="16" t="s">
        <v>239</v>
      </c>
      <c r="D91" s="16"/>
      <c r="E91" s="13" t="str">
        <f>IF(ISBLANK(A91),"neu",IF(ISBLANK(C91),"weg",IF(A91&lt;&gt;C91,"geändert","")))</f>
        <v>geändert</v>
      </c>
      <c r="F91" s="13"/>
      <c r="G91" s="13"/>
      <c r="H91" t="s">
        <v>11</v>
      </c>
      <c r="I91" s="7"/>
      <c r="J91" s="1"/>
      <c r="K91" s="1"/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/>
      <c r="R91" s="74">
        <v>1</v>
      </c>
      <c r="S91" s="10"/>
      <c r="T91" s="10"/>
      <c r="U91" s="10"/>
      <c r="V91" s="10"/>
      <c r="W91" s="10"/>
      <c r="Y91" s="10"/>
      <c r="Z91" s="10"/>
      <c r="AA91" s="69">
        <v>1</v>
      </c>
      <c r="AB91" s="10"/>
      <c r="AC91" s="10"/>
      <c r="AD91" s="10"/>
      <c r="AE91" s="75"/>
      <c r="AF91" s="8"/>
      <c r="AG91" s="2">
        <f t="shared" si="2"/>
        <v>1</v>
      </c>
      <c r="AH91" s="78">
        <f t="shared" si="3"/>
        <v>9</v>
      </c>
    </row>
    <row r="92" spans="1:34" s="9" customFormat="1" x14ac:dyDescent="0.45">
      <c r="A92" s="24" t="s">
        <v>112</v>
      </c>
      <c r="B92" s="13"/>
      <c r="C92" s="13" t="s">
        <v>112</v>
      </c>
      <c r="D92" s="13"/>
      <c r="E92" s="13" t="str">
        <f>IF(ISBLANK(A92),"neu",IF(ISBLANK(C92),"weg",IF(A92&lt;&gt;C92,"geändert","")))</f>
        <v/>
      </c>
      <c r="F92" s="13"/>
      <c r="G92" s="13"/>
      <c r="H92" t="s">
        <v>11</v>
      </c>
      <c r="I92" s="7"/>
      <c r="J92" s="1"/>
      <c r="K92" s="1"/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/>
      <c r="R92" s="74">
        <v>1</v>
      </c>
      <c r="S92" s="10"/>
      <c r="T92" s="10"/>
      <c r="U92" s="10"/>
      <c r="V92" s="10"/>
      <c r="W92" s="10"/>
      <c r="Y92" s="10"/>
      <c r="Z92" s="10"/>
      <c r="AA92" s="69">
        <v>1</v>
      </c>
      <c r="AB92" s="10"/>
      <c r="AC92" s="10"/>
      <c r="AD92" s="10"/>
      <c r="AE92" s="75"/>
      <c r="AF92" s="8"/>
      <c r="AG92" s="2">
        <f t="shared" si="2"/>
        <v>1</v>
      </c>
      <c r="AH92" s="78">
        <f t="shared" si="3"/>
        <v>9</v>
      </c>
    </row>
    <row r="93" spans="1:34" s="9" customFormat="1" x14ac:dyDescent="0.45">
      <c r="A93" s="24" t="s">
        <v>129</v>
      </c>
      <c r="B93" s="13"/>
      <c r="C93" s="31" t="s">
        <v>418</v>
      </c>
      <c r="D93" s="31" t="s">
        <v>420</v>
      </c>
      <c r="E93" s="13" t="str">
        <f>IF(ISBLANK(A93),"neu",IF(ISBLANK(C93),"weg",IF(A93&lt;&gt;C93,"geändert","")))</f>
        <v>geändert</v>
      </c>
      <c r="F93" s="13"/>
      <c r="G93" s="13"/>
      <c r="H93" t="s">
        <v>11</v>
      </c>
      <c r="I93" s="7"/>
      <c r="J93" s="1"/>
      <c r="K93" s="1"/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/>
      <c r="R93" s="74">
        <v>1</v>
      </c>
      <c r="S93" s="10"/>
      <c r="T93" s="10"/>
      <c r="U93" s="10"/>
      <c r="V93" s="10"/>
      <c r="W93" s="10"/>
      <c r="Y93" s="10"/>
      <c r="Z93" s="10"/>
      <c r="AA93" s="10"/>
      <c r="AB93" s="10"/>
      <c r="AC93" s="10"/>
      <c r="AD93" s="10"/>
      <c r="AE93" s="69">
        <v>1</v>
      </c>
      <c r="AF93" s="8"/>
      <c r="AG93" s="2">
        <f t="shared" si="2"/>
        <v>1</v>
      </c>
      <c r="AH93" s="78">
        <f t="shared" si="3"/>
        <v>13</v>
      </c>
    </row>
    <row r="94" spans="1:34" s="9" customFormat="1" x14ac:dyDescent="0.45">
      <c r="B94" s="13"/>
      <c r="C94" s="31" t="s">
        <v>449</v>
      </c>
      <c r="D94" s="31" t="s">
        <v>419</v>
      </c>
      <c r="E94" s="13" t="str">
        <f>IF(ISBLANK(A94),"neu",IF(ISBLANK(C94),"weg",IF(A94&lt;&gt;C94,"geändert","")))</f>
        <v>neu</v>
      </c>
      <c r="F94" s="13"/>
      <c r="G94" s="13"/>
      <c r="H94" t="s">
        <v>11</v>
      </c>
      <c r="I94" s="7"/>
      <c r="J94" s="1"/>
      <c r="K94" s="1"/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/>
      <c r="R94" s="74">
        <v>1</v>
      </c>
      <c r="S94" s="10"/>
      <c r="T94" s="10"/>
      <c r="U94" s="10"/>
      <c r="V94" s="10"/>
      <c r="W94" s="10"/>
      <c r="Y94" s="10"/>
      <c r="Z94" s="10"/>
      <c r="AA94" s="10"/>
      <c r="AB94" s="10"/>
      <c r="AC94" s="10"/>
      <c r="AD94" s="10"/>
      <c r="AE94" s="69">
        <v>1</v>
      </c>
      <c r="AF94" s="8"/>
      <c r="AG94" s="2">
        <f t="shared" si="2"/>
        <v>1</v>
      </c>
      <c r="AH94" s="78">
        <f t="shared" si="3"/>
        <v>13</v>
      </c>
    </row>
    <row r="95" spans="1:34" s="9" customFormat="1" x14ac:dyDescent="0.45">
      <c r="B95" s="13"/>
      <c r="C95" s="31" t="s">
        <v>450</v>
      </c>
      <c r="D95" s="31" t="s">
        <v>421</v>
      </c>
      <c r="E95" s="13" t="str">
        <f>IF(ISBLANK(A95),"neu",IF(ISBLANK(C95),"weg",IF(A95&lt;&gt;C95,"geändert","")))</f>
        <v>neu</v>
      </c>
      <c r="F95" s="13"/>
      <c r="G95" s="13"/>
      <c r="H95" t="s">
        <v>11</v>
      </c>
      <c r="I95" s="7"/>
      <c r="J95" s="1"/>
      <c r="K95" s="1"/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/>
      <c r="R95" s="74">
        <v>1</v>
      </c>
      <c r="S95" s="10"/>
      <c r="T95" s="10"/>
      <c r="U95" s="10"/>
      <c r="V95" s="10"/>
      <c r="W95" s="10"/>
      <c r="Y95" s="10"/>
      <c r="Z95" s="10"/>
      <c r="AA95" s="10"/>
      <c r="AB95" s="10"/>
      <c r="AC95" s="10"/>
      <c r="AD95" s="10"/>
      <c r="AE95" s="69">
        <v>1</v>
      </c>
      <c r="AF95" s="8"/>
      <c r="AG95" s="2">
        <f t="shared" si="2"/>
        <v>1</v>
      </c>
      <c r="AH95" s="78">
        <f t="shared" si="3"/>
        <v>13</v>
      </c>
    </row>
    <row r="96" spans="1:34" s="9" customFormat="1" x14ac:dyDescent="0.45">
      <c r="B96" s="13"/>
      <c r="C96" s="18" t="s">
        <v>341</v>
      </c>
      <c r="D96" s="31" t="s">
        <v>422</v>
      </c>
      <c r="E96" s="13" t="str">
        <f>IF(ISBLANK(A96),"neu",IF(ISBLANK(C96),"weg",IF(A96&lt;&gt;C96,"geändert","")))</f>
        <v>neu</v>
      </c>
      <c r="F96" s="13"/>
      <c r="G96" s="13"/>
      <c r="H96" t="s">
        <v>11</v>
      </c>
      <c r="I96" s="7"/>
      <c r="J96" s="1"/>
      <c r="K96" s="1"/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/>
      <c r="R96" s="74">
        <v>1</v>
      </c>
      <c r="S96" s="10"/>
      <c r="T96" s="10"/>
      <c r="U96" s="10"/>
      <c r="V96" s="10"/>
      <c r="W96" s="10"/>
      <c r="Y96" s="10"/>
      <c r="Z96" s="10"/>
      <c r="AA96" s="10"/>
      <c r="AB96" s="10"/>
      <c r="AC96" s="10"/>
      <c r="AD96" s="10"/>
      <c r="AE96" s="69">
        <v>1</v>
      </c>
      <c r="AF96" s="8"/>
      <c r="AG96" s="2">
        <f t="shared" si="2"/>
        <v>1</v>
      </c>
      <c r="AH96" s="78">
        <f t="shared" si="3"/>
        <v>13</v>
      </c>
    </row>
    <row r="97" spans="1:34" s="9" customFormat="1" x14ac:dyDescent="0.45">
      <c r="B97" s="13"/>
      <c r="C97" s="18" t="s">
        <v>342</v>
      </c>
      <c r="D97" s="31" t="s">
        <v>423</v>
      </c>
      <c r="E97" s="13" t="str">
        <f>IF(ISBLANK(A97),"neu",IF(ISBLANK(C97),"weg",IF(A97&lt;&gt;C97,"geändert","")))</f>
        <v>neu</v>
      </c>
      <c r="F97" s="13"/>
      <c r="G97" s="13"/>
      <c r="H97" t="s">
        <v>11</v>
      </c>
      <c r="I97" s="7"/>
      <c r="J97" s="1"/>
      <c r="K97" s="1"/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/>
      <c r="R97" s="74">
        <v>1</v>
      </c>
      <c r="S97" s="10"/>
      <c r="T97" s="10"/>
      <c r="U97" s="10"/>
      <c r="V97" s="10"/>
      <c r="W97" s="10"/>
      <c r="Y97" s="10"/>
      <c r="Z97" s="10"/>
      <c r="AA97" s="10"/>
      <c r="AB97" s="10"/>
      <c r="AC97" s="10"/>
      <c r="AD97" s="10"/>
      <c r="AE97" s="69">
        <v>1</v>
      </c>
      <c r="AF97" s="8"/>
      <c r="AG97" s="2">
        <f t="shared" si="2"/>
        <v>1</v>
      </c>
      <c r="AH97" s="78">
        <f t="shared" si="3"/>
        <v>13</v>
      </c>
    </row>
    <row r="98" spans="1:34" s="9" customFormat="1" x14ac:dyDescent="0.45">
      <c r="B98" s="13"/>
      <c r="C98" s="18" t="s">
        <v>343</v>
      </c>
      <c r="D98" s="31" t="s">
        <v>424</v>
      </c>
      <c r="E98" s="13" t="str">
        <f>IF(ISBLANK(A98),"neu",IF(ISBLANK(C98),"weg",IF(A98&lt;&gt;C98,"geändert","")))</f>
        <v>neu</v>
      </c>
      <c r="F98" s="13"/>
      <c r="G98" s="13"/>
      <c r="H98" t="s">
        <v>11</v>
      </c>
      <c r="I98" s="7"/>
      <c r="J98" s="1"/>
      <c r="K98" s="1"/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/>
      <c r="R98" s="74">
        <v>1</v>
      </c>
      <c r="S98" s="10"/>
      <c r="T98" s="10"/>
      <c r="U98" s="10"/>
      <c r="V98" s="10"/>
      <c r="W98" s="10"/>
      <c r="Y98" s="10"/>
      <c r="Z98" s="10"/>
      <c r="AA98" s="10"/>
      <c r="AB98" s="10"/>
      <c r="AC98" s="10"/>
      <c r="AD98" s="10"/>
      <c r="AE98" s="69">
        <v>1</v>
      </c>
      <c r="AF98" s="8"/>
      <c r="AG98" s="2">
        <f t="shared" si="2"/>
        <v>1</v>
      </c>
      <c r="AH98" s="78">
        <f t="shared" si="3"/>
        <v>13</v>
      </c>
    </row>
    <row r="99" spans="1:34" s="9" customFormat="1" x14ac:dyDescent="0.45">
      <c r="B99" s="13"/>
      <c r="C99" s="18" t="s">
        <v>344</v>
      </c>
      <c r="D99" s="31" t="s">
        <v>425</v>
      </c>
      <c r="E99" s="13" t="str">
        <f>IF(ISBLANK(A99),"neu",IF(ISBLANK(C99),"weg",IF(A99&lt;&gt;C99,"geändert","")))</f>
        <v>neu</v>
      </c>
      <c r="F99" s="13"/>
      <c r="G99" s="13"/>
      <c r="H99" t="s">
        <v>11</v>
      </c>
      <c r="I99" s="7"/>
      <c r="J99" s="1"/>
      <c r="K99" s="1"/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/>
      <c r="R99" s="74">
        <v>1</v>
      </c>
      <c r="S99" s="10"/>
      <c r="T99" s="10"/>
      <c r="U99" s="10"/>
      <c r="V99" s="10"/>
      <c r="W99" s="10"/>
      <c r="Y99" s="10"/>
      <c r="Z99" s="10"/>
      <c r="AA99" s="10"/>
      <c r="AB99" s="10"/>
      <c r="AC99" s="10"/>
      <c r="AD99" s="10"/>
      <c r="AE99" s="69">
        <v>1</v>
      </c>
      <c r="AF99" s="8"/>
      <c r="AG99" s="2">
        <f t="shared" si="2"/>
        <v>1</v>
      </c>
      <c r="AH99" s="78">
        <f t="shared" si="3"/>
        <v>13</v>
      </c>
    </row>
    <row r="100" spans="1:34" s="9" customFormat="1" x14ac:dyDescent="0.45">
      <c r="B100" s="13"/>
      <c r="C100" s="18" t="s">
        <v>345</v>
      </c>
      <c r="D100" s="31" t="s">
        <v>426</v>
      </c>
      <c r="E100" s="13" t="str">
        <f>IF(ISBLANK(A100),"neu",IF(ISBLANK(C100),"weg",IF(A100&lt;&gt;C100,"geändert","")))</f>
        <v>neu</v>
      </c>
      <c r="F100" s="13"/>
      <c r="G100" s="13"/>
      <c r="H100" t="s">
        <v>11</v>
      </c>
      <c r="I100" s="7"/>
      <c r="J100" s="1"/>
      <c r="K100" s="1"/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/>
      <c r="R100" s="74">
        <v>1</v>
      </c>
      <c r="S100" s="10"/>
      <c r="T100" s="10"/>
      <c r="U100" s="10"/>
      <c r="V100" s="10"/>
      <c r="W100" s="10"/>
      <c r="Y100" s="10"/>
      <c r="Z100" s="10"/>
      <c r="AA100" s="10"/>
      <c r="AB100" s="10"/>
      <c r="AC100" s="10"/>
      <c r="AD100" s="10"/>
      <c r="AE100" s="69">
        <v>1</v>
      </c>
      <c r="AF100" s="8"/>
      <c r="AG100" s="2">
        <f t="shared" si="2"/>
        <v>1</v>
      </c>
      <c r="AH100" s="78">
        <f t="shared" si="3"/>
        <v>13</v>
      </c>
    </row>
    <row r="101" spans="1:34" s="9" customFormat="1" x14ac:dyDescent="0.45">
      <c r="A101" s="24" t="s">
        <v>113</v>
      </c>
      <c r="B101" s="13"/>
      <c r="C101" s="22"/>
      <c r="D101" s="22" t="s">
        <v>346</v>
      </c>
      <c r="E101" s="13" t="s">
        <v>671</v>
      </c>
      <c r="F101" s="13"/>
      <c r="G101" s="13"/>
      <c r="H101"/>
      <c r="I101" s="7"/>
      <c r="J101" s="1"/>
      <c r="K101" s="1"/>
      <c r="L101" s="1"/>
      <c r="M101" s="1"/>
      <c r="N101" s="1"/>
      <c r="O101" s="1"/>
      <c r="P101" s="1"/>
      <c r="Q101" s="1"/>
      <c r="R101" s="74"/>
      <c r="S101" s="10"/>
      <c r="T101" s="10"/>
      <c r="U101" s="10"/>
      <c r="V101" s="10"/>
      <c r="W101" s="10"/>
      <c r="Y101" s="10"/>
      <c r="Z101" s="10"/>
      <c r="AA101" s="10"/>
      <c r="AB101" s="10"/>
      <c r="AC101" s="10"/>
      <c r="AD101" s="10"/>
      <c r="AE101" s="10"/>
      <c r="AF101" s="8"/>
      <c r="AG101" s="2" t="str">
        <f t="shared" si="2"/>
        <v/>
      </c>
      <c r="AH101" s="78" t="str">
        <f t="shared" si="3"/>
        <v/>
      </c>
    </row>
    <row r="102" spans="1:34" s="9" customFormat="1" x14ac:dyDescent="0.45">
      <c r="A102" s="24" t="s">
        <v>114</v>
      </c>
      <c r="B102" s="13"/>
      <c r="C102" s="22"/>
      <c r="D102" s="22" t="s">
        <v>737</v>
      </c>
      <c r="E102" s="13" t="s">
        <v>671</v>
      </c>
      <c r="F102" s="13"/>
      <c r="G102" s="13"/>
      <c r="H102"/>
      <c r="I102" s="7"/>
      <c r="J102" s="1"/>
      <c r="K102" s="1"/>
      <c r="L102" s="1"/>
      <c r="M102" s="1"/>
      <c r="N102" s="1"/>
      <c r="O102" s="1"/>
      <c r="P102" s="1"/>
      <c r="Q102" s="1"/>
      <c r="R102" s="74"/>
      <c r="S102" s="10"/>
      <c r="T102" s="10"/>
      <c r="U102" s="10"/>
      <c r="V102" s="10"/>
      <c r="W102" s="10"/>
      <c r="Y102" s="10"/>
      <c r="Z102" s="10"/>
      <c r="AA102" s="10"/>
      <c r="AB102" s="10"/>
      <c r="AC102" s="10"/>
      <c r="AD102" s="10"/>
      <c r="AE102" s="10"/>
      <c r="AF102" s="8"/>
      <c r="AG102" s="2" t="str">
        <f t="shared" si="2"/>
        <v/>
      </c>
      <c r="AH102" s="78" t="str">
        <f t="shared" si="3"/>
        <v/>
      </c>
    </row>
    <row r="103" spans="1:34" s="9" customFormat="1" x14ac:dyDescent="0.45">
      <c r="A103" s="24" t="s">
        <v>115</v>
      </c>
      <c r="B103" s="13"/>
      <c r="E103" s="13" t="str">
        <f>IF(ISBLANK(A103),"neu",IF(ISBLANK(C103),"weg",IF(A103&lt;&gt;C103,"geändert","")))</f>
        <v>weg</v>
      </c>
      <c r="F103" s="13"/>
      <c r="G103" s="13"/>
      <c r="H103"/>
      <c r="I103" s="7"/>
      <c r="J103" s="1"/>
      <c r="K103" s="1"/>
      <c r="L103" s="1"/>
      <c r="M103" s="1"/>
      <c r="N103" s="1"/>
      <c r="O103" s="1"/>
      <c r="P103" s="1"/>
      <c r="Q103" s="1"/>
      <c r="R103" s="74" t="s">
        <v>731</v>
      </c>
      <c r="S103" s="10"/>
      <c r="T103" s="10"/>
      <c r="U103" s="10"/>
      <c r="V103" s="10"/>
      <c r="W103" s="10"/>
      <c r="Y103" s="10"/>
      <c r="Z103" s="10"/>
      <c r="AA103" s="10"/>
      <c r="AB103" s="10"/>
      <c r="AC103" s="10"/>
      <c r="AD103" s="10"/>
      <c r="AE103" s="75"/>
      <c r="AF103" s="8"/>
      <c r="AG103" s="2" t="str">
        <f t="shared" si="2"/>
        <v/>
      </c>
      <c r="AH103" s="78" t="str">
        <f t="shared" si="3"/>
        <v/>
      </c>
    </row>
    <row r="104" spans="1:34" s="9" customFormat="1" x14ac:dyDescent="0.45">
      <c r="A104" s="24" t="s">
        <v>361</v>
      </c>
      <c r="B104" s="13"/>
      <c r="E104" s="13" t="str">
        <f>IF(ISBLANK(A104),"neu",IF(ISBLANK(C104),"weg",IF(A104&lt;&gt;C104,"geändert","")))</f>
        <v>weg</v>
      </c>
      <c r="F104" s="13"/>
      <c r="G104" s="13"/>
      <c r="H104"/>
      <c r="I104" s="7"/>
      <c r="J104" s="1"/>
      <c r="K104" s="1"/>
      <c r="L104" s="1"/>
      <c r="M104" s="1"/>
      <c r="N104" s="1"/>
      <c r="O104" s="1"/>
      <c r="P104" s="1"/>
      <c r="Q104" s="1"/>
      <c r="R104" s="74" t="s">
        <v>731</v>
      </c>
      <c r="S104" s="10"/>
      <c r="T104" s="10"/>
      <c r="U104" s="10"/>
      <c r="V104" s="10"/>
      <c r="W104" s="10"/>
      <c r="Y104" s="10"/>
      <c r="Z104" s="10"/>
      <c r="AA104" s="10"/>
      <c r="AB104" s="10"/>
      <c r="AC104" s="10"/>
      <c r="AD104" s="10"/>
      <c r="AE104" s="75"/>
      <c r="AF104" s="8"/>
      <c r="AG104" s="2" t="str">
        <f t="shared" si="2"/>
        <v/>
      </c>
      <c r="AH104" s="78" t="str">
        <f t="shared" si="3"/>
        <v/>
      </c>
    </row>
    <row r="105" spans="1:34" s="9" customFormat="1" x14ac:dyDescent="0.45">
      <c r="A105" s="24" t="s">
        <v>116</v>
      </c>
      <c r="B105" s="13"/>
      <c r="C105" s="18" t="s">
        <v>347</v>
      </c>
      <c r="D105" s="31" t="s">
        <v>427</v>
      </c>
      <c r="E105" s="13" t="str">
        <f>IF(ISBLANK(A105),"neu",IF(ISBLANK(C105),"weg",IF(A105&lt;&gt;C105,"geändert","")))</f>
        <v>geändert</v>
      </c>
      <c r="F105" s="13"/>
      <c r="G105" s="13"/>
      <c r="H105" s="87" t="s">
        <v>11</v>
      </c>
      <c r="I105" s="7"/>
      <c r="J105" s="1"/>
      <c r="K105" s="1"/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/>
      <c r="R105" s="74">
        <v>1</v>
      </c>
      <c r="S105" s="10"/>
      <c r="T105" s="10"/>
      <c r="U105" s="10"/>
      <c r="V105" s="10"/>
      <c r="W105" s="10"/>
      <c r="Y105" s="10"/>
      <c r="Z105" s="10"/>
      <c r="AA105" s="10"/>
      <c r="AB105" s="10"/>
      <c r="AC105" s="10"/>
      <c r="AD105" s="10"/>
      <c r="AE105" s="69">
        <v>1</v>
      </c>
      <c r="AF105" s="8"/>
      <c r="AG105" s="2">
        <f t="shared" si="2"/>
        <v>1</v>
      </c>
      <c r="AH105" s="78">
        <f t="shared" si="3"/>
        <v>13</v>
      </c>
    </row>
    <row r="106" spans="1:34" s="9" customFormat="1" x14ac:dyDescent="0.45">
      <c r="A106" s="24" t="s">
        <v>117</v>
      </c>
      <c r="B106" s="13"/>
      <c r="C106" s="18" t="s">
        <v>348</v>
      </c>
      <c r="D106" s="31" t="s">
        <v>428</v>
      </c>
      <c r="E106" s="13" t="str">
        <f>IF(ISBLANK(A106),"neu",IF(ISBLANK(C106),"weg",IF(A106&lt;&gt;C106,"geändert","")))</f>
        <v>geändert</v>
      </c>
      <c r="F106" s="13"/>
      <c r="G106" s="13"/>
      <c r="H106" s="87" t="s">
        <v>11</v>
      </c>
      <c r="I106" s="7"/>
      <c r="J106" s="1"/>
      <c r="K106" s="1"/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/>
      <c r="R106" s="74">
        <v>1</v>
      </c>
      <c r="S106" s="10"/>
      <c r="T106" s="10"/>
      <c r="U106" s="10"/>
      <c r="V106" s="10"/>
      <c r="W106" s="10"/>
      <c r="Y106" s="10"/>
      <c r="Z106" s="10"/>
      <c r="AA106" s="10"/>
      <c r="AB106" s="10"/>
      <c r="AC106" s="10"/>
      <c r="AD106" s="10"/>
      <c r="AE106" s="69">
        <v>1</v>
      </c>
      <c r="AF106" s="8"/>
      <c r="AG106" s="2">
        <f t="shared" si="2"/>
        <v>1</v>
      </c>
      <c r="AH106" s="78">
        <f t="shared" si="3"/>
        <v>13</v>
      </c>
    </row>
    <row r="107" spans="1:34" s="9" customFormat="1" x14ac:dyDescent="0.45">
      <c r="A107" s="24" t="s">
        <v>121</v>
      </c>
      <c r="B107" s="13"/>
      <c r="C107" s="23"/>
      <c r="D107" s="22" t="s">
        <v>738</v>
      </c>
      <c r="E107" s="13" t="s">
        <v>671</v>
      </c>
      <c r="F107" s="13"/>
      <c r="G107" s="13"/>
      <c r="H107"/>
      <c r="I107" s="7"/>
      <c r="J107" s="1"/>
      <c r="K107" s="1"/>
      <c r="L107" s="1"/>
      <c r="M107" s="1"/>
      <c r="N107" s="1"/>
      <c r="O107" s="1"/>
      <c r="P107" s="1"/>
      <c r="Q107" s="1"/>
      <c r="R107" s="74"/>
      <c r="S107" s="10"/>
      <c r="T107" s="10"/>
      <c r="U107" s="10"/>
      <c r="V107" s="10"/>
      <c r="W107" s="10"/>
      <c r="Y107" s="10"/>
      <c r="Z107" s="10"/>
      <c r="AA107" s="10"/>
      <c r="AB107" s="10"/>
      <c r="AC107" s="10"/>
      <c r="AD107" s="10"/>
      <c r="AE107" s="75"/>
      <c r="AF107" s="8"/>
      <c r="AG107" s="2" t="str">
        <f t="shared" si="2"/>
        <v/>
      </c>
      <c r="AH107" s="78" t="str">
        <f t="shared" si="3"/>
        <v/>
      </c>
    </row>
    <row r="108" spans="1:34" s="9" customFormat="1" x14ac:dyDescent="0.45">
      <c r="A108" s="24" t="s">
        <v>122</v>
      </c>
      <c r="B108" s="13"/>
      <c r="E108" s="13" t="str">
        <f>IF(ISBLANK(A108),"neu",IF(ISBLANK(C108),"weg",IF(A108&lt;&gt;C108,"geändert","")))</f>
        <v>weg</v>
      </c>
      <c r="F108" s="13"/>
      <c r="G108" s="13"/>
      <c r="H108"/>
      <c r="I108" s="7"/>
      <c r="J108" s="1"/>
      <c r="K108" s="1"/>
      <c r="L108" s="1"/>
      <c r="M108" s="1"/>
      <c r="N108" s="1"/>
      <c r="O108" s="1"/>
      <c r="P108" s="1"/>
      <c r="Q108" s="1"/>
      <c r="R108" s="74" t="s">
        <v>731</v>
      </c>
      <c r="S108" s="10"/>
      <c r="T108" s="10"/>
      <c r="U108" s="10"/>
      <c r="V108" s="10"/>
      <c r="W108" s="10"/>
      <c r="Y108" s="10"/>
      <c r="Z108" s="10"/>
      <c r="AA108" s="10"/>
      <c r="AB108" s="10"/>
      <c r="AC108" s="10"/>
      <c r="AD108" s="10"/>
      <c r="AE108" s="75"/>
      <c r="AF108" s="8"/>
      <c r="AG108" s="2" t="str">
        <f t="shared" si="2"/>
        <v/>
      </c>
      <c r="AH108" s="78" t="str">
        <f t="shared" si="3"/>
        <v/>
      </c>
    </row>
    <row r="109" spans="1:34" s="9" customFormat="1" x14ac:dyDescent="0.45">
      <c r="A109" s="24" t="s">
        <v>123</v>
      </c>
      <c r="B109" s="13"/>
      <c r="C109" s="31" t="s">
        <v>484</v>
      </c>
      <c r="D109" s="31" t="s">
        <v>427</v>
      </c>
      <c r="E109" s="13" t="str">
        <f>IF(ISBLANK(A109),"neu",IF(ISBLANK(C109),"weg",IF(A109&lt;&gt;C109,"geändert","")))</f>
        <v>geändert</v>
      </c>
      <c r="F109" s="13"/>
      <c r="G109" s="13"/>
      <c r="H109" s="87" t="s">
        <v>11</v>
      </c>
      <c r="I109" s="7"/>
      <c r="J109" s="1"/>
      <c r="K109" s="1"/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/>
      <c r="R109" s="74">
        <v>1</v>
      </c>
      <c r="S109" s="10"/>
      <c r="T109" s="10"/>
      <c r="U109" s="10"/>
      <c r="V109" s="10"/>
      <c r="W109" s="10"/>
      <c r="Y109" s="10"/>
      <c r="Z109" s="10"/>
      <c r="AA109" s="10"/>
      <c r="AB109" s="10"/>
      <c r="AC109" s="10"/>
      <c r="AD109" s="10"/>
      <c r="AE109" s="69">
        <v>1</v>
      </c>
      <c r="AF109" s="8"/>
      <c r="AG109" s="2">
        <f t="shared" si="2"/>
        <v>1</v>
      </c>
      <c r="AH109" s="78">
        <f t="shared" si="3"/>
        <v>13</v>
      </c>
    </row>
    <row r="110" spans="1:34" s="9" customFormat="1" x14ac:dyDescent="0.45">
      <c r="A110" s="24" t="s">
        <v>124</v>
      </c>
      <c r="B110" s="13"/>
      <c r="C110" s="26" t="s">
        <v>485</v>
      </c>
      <c r="D110" s="31" t="s">
        <v>429</v>
      </c>
      <c r="E110" s="13" t="str">
        <f>IF(ISBLANK(A110),"neu",IF(ISBLANK(C110),"weg",IF(A110&lt;&gt;C110,"geändert","")))</f>
        <v>geändert</v>
      </c>
      <c r="F110" s="13"/>
      <c r="G110" s="13"/>
      <c r="H110" s="87" t="s">
        <v>11</v>
      </c>
      <c r="I110" s="7"/>
      <c r="J110" s="1"/>
      <c r="K110" s="1"/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/>
      <c r="R110" s="74">
        <v>1</v>
      </c>
      <c r="S110" s="10"/>
      <c r="T110" s="10"/>
      <c r="U110" s="10"/>
      <c r="V110" s="10"/>
      <c r="W110" s="10"/>
      <c r="Y110" s="10"/>
      <c r="Z110" s="10"/>
      <c r="AA110" s="10"/>
      <c r="AB110" s="10"/>
      <c r="AC110" s="10"/>
      <c r="AD110" s="10"/>
      <c r="AE110" s="69">
        <v>1</v>
      </c>
      <c r="AF110" s="8"/>
      <c r="AG110" s="2">
        <f t="shared" si="2"/>
        <v>1</v>
      </c>
      <c r="AH110" s="78">
        <f t="shared" si="3"/>
        <v>13</v>
      </c>
    </row>
    <row r="111" spans="1:34" s="9" customFormat="1" x14ac:dyDescent="0.45">
      <c r="A111" s="24" t="s">
        <v>118</v>
      </c>
      <c r="B111" s="13"/>
      <c r="C111" s="26" t="s">
        <v>430</v>
      </c>
      <c r="D111" s="26"/>
      <c r="E111" s="13" t="str">
        <f>IF(ISBLANK(A111),"neu",IF(ISBLANK(C111),"weg",IF(A111&lt;&gt;C111,"geändert","")))</f>
        <v>geändert</v>
      </c>
      <c r="F111" s="13"/>
      <c r="G111" s="13"/>
      <c r="H111" s="87" t="s">
        <v>11</v>
      </c>
      <c r="I111" s="7"/>
      <c r="J111" s="1"/>
      <c r="K111" s="1"/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/>
      <c r="R111" s="74">
        <v>1</v>
      </c>
      <c r="S111" s="10"/>
      <c r="T111" s="10"/>
      <c r="U111" s="10"/>
      <c r="V111" s="10"/>
      <c r="W111" s="10"/>
      <c r="Y111" s="10"/>
      <c r="Z111" s="10"/>
      <c r="AA111" s="10"/>
      <c r="AB111" s="10"/>
      <c r="AC111" s="10"/>
      <c r="AD111" s="10"/>
      <c r="AE111" s="69">
        <v>1</v>
      </c>
      <c r="AF111" s="8"/>
      <c r="AG111" s="2">
        <f t="shared" si="2"/>
        <v>1</v>
      </c>
      <c r="AH111" s="78">
        <f t="shared" si="3"/>
        <v>13</v>
      </c>
    </row>
    <row r="112" spans="1:34" s="9" customFormat="1" x14ac:dyDescent="0.45">
      <c r="A112" s="24" t="s">
        <v>119</v>
      </c>
      <c r="B112" s="13"/>
      <c r="C112" s="31" t="s">
        <v>431</v>
      </c>
      <c r="D112" s="31" t="s">
        <v>433</v>
      </c>
      <c r="E112" s="13" t="str">
        <f>IF(ISBLANK(A112),"neu",IF(ISBLANK(C112),"weg",IF(A112&lt;&gt;C112,"geändert","")))</f>
        <v>geändert</v>
      </c>
      <c r="F112" s="13"/>
      <c r="G112" s="13"/>
      <c r="H112" s="87" t="s">
        <v>11</v>
      </c>
      <c r="I112" s="7"/>
      <c r="J112" s="1"/>
      <c r="K112" s="1"/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/>
      <c r="R112" s="74">
        <v>1</v>
      </c>
      <c r="S112" s="10"/>
      <c r="T112" s="10"/>
      <c r="U112" s="10"/>
      <c r="V112" s="10"/>
      <c r="W112" s="10"/>
      <c r="Y112" s="10"/>
      <c r="Z112" s="10"/>
      <c r="AA112" s="10"/>
      <c r="AB112" s="10"/>
      <c r="AC112" s="10"/>
      <c r="AD112" s="10"/>
      <c r="AE112" s="69">
        <v>1</v>
      </c>
      <c r="AF112" s="8"/>
      <c r="AG112" s="2">
        <f t="shared" si="2"/>
        <v>1</v>
      </c>
      <c r="AH112" s="78">
        <f t="shared" si="3"/>
        <v>13</v>
      </c>
    </row>
    <row r="113" spans="1:34" s="9" customFormat="1" x14ac:dyDescent="0.45">
      <c r="A113" s="24" t="s">
        <v>120</v>
      </c>
      <c r="B113" s="13"/>
      <c r="D113" s="23" t="s">
        <v>435</v>
      </c>
      <c r="E113" s="13" t="str">
        <f>IF(ISBLANK(A113),"neu",IF(ISBLANK(C113),"weg",IF(A113&lt;&gt;C113,"geändert","")))</f>
        <v>weg</v>
      </c>
      <c r="F113" s="13"/>
      <c r="G113" s="13"/>
      <c r="H113"/>
      <c r="I113" s="7"/>
      <c r="J113" s="1"/>
      <c r="K113" s="1"/>
      <c r="L113" s="1"/>
      <c r="M113" s="1"/>
      <c r="N113" s="1"/>
      <c r="O113" s="1"/>
      <c r="P113" s="1"/>
      <c r="Q113" s="1"/>
      <c r="R113" s="74" t="s">
        <v>731</v>
      </c>
      <c r="S113" s="10"/>
      <c r="T113" s="10"/>
      <c r="U113" s="10"/>
      <c r="V113" s="10"/>
      <c r="W113" s="10"/>
      <c r="Y113" s="10"/>
      <c r="Z113" s="10"/>
      <c r="AA113" s="10"/>
      <c r="AB113" s="10"/>
      <c r="AC113" s="10"/>
      <c r="AD113" s="10"/>
      <c r="AE113" s="75"/>
      <c r="AF113" s="8"/>
      <c r="AG113" s="2" t="str">
        <f t="shared" si="2"/>
        <v/>
      </c>
      <c r="AH113" s="78" t="str">
        <f t="shared" si="3"/>
        <v/>
      </c>
    </row>
    <row r="114" spans="1:34" s="9" customFormat="1" x14ac:dyDescent="0.45">
      <c r="A114" s="24" t="s">
        <v>125</v>
      </c>
      <c r="B114" s="13"/>
      <c r="D114" s="22" t="s">
        <v>349</v>
      </c>
      <c r="E114" s="13" t="s">
        <v>671</v>
      </c>
      <c r="F114" s="13"/>
      <c r="G114" s="13"/>
      <c r="H114"/>
      <c r="I114" s="7"/>
      <c r="J114" s="1"/>
      <c r="K114" s="1"/>
      <c r="L114" s="1"/>
      <c r="M114" s="1"/>
      <c r="N114" s="1"/>
      <c r="O114" s="1"/>
      <c r="P114" s="1"/>
      <c r="Q114" s="1"/>
      <c r="R114" s="74" t="s">
        <v>731</v>
      </c>
      <c r="S114" s="10"/>
      <c r="T114" s="10"/>
      <c r="U114" s="10"/>
      <c r="V114" s="10"/>
      <c r="W114" s="10"/>
      <c r="Y114" s="10"/>
      <c r="Z114" s="10"/>
      <c r="AA114" s="10"/>
      <c r="AB114" s="10"/>
      <c r="AC114" s="10"/>
      <c r="AD114" s="10"/>
      <c r="AE114" s="75"/>
      <c r="AF114" s="8"/>
      <c r="AG114" s="2" t="str">
        <f t="shared" si="2"/>
        <v/>
      </c>
      <c r="AH114" s="78" t="str">
        <f t="shared" si="3"/>
        <v/>
      </c>
    </row>
    <row r="115" spans="1:34" s="9" customFormat="1" x14ac:dyDescent="0.45">
      <c r="A115" s="24" t="s">
        <v>126</v>
      </c>
      <c r="B115" s="13"/>
      <c r="C115" s="25"/>
      <c r="D115" s="22" t="s">
        <v>432</v>
      </c>
      <c r="E115" s="13" t="s">
        <v>671</v>
      </c>
      <c r="F115" s="13"/>
      <c r="G115" s="13"/>
      <c r="H115"/>
      <c r="I115" s="7"/>
      <c r="J115" s="1"/>
      <c r="K115" s="1"/>
      <c r="L115" s="1"/>
      <c r="M115" s="1"/>
      <c r="N115" s="1"/>
      <c r="O115" s="1"/>
      <c r="P115" s="1"/>
      <c r="Q115" s="1"/>
      <c r="R115" s="74" t="s">
        <v>731</v>
      </c>
      <c r="S115" s="10"/>
      <c r="T115" s="10"/>
      <c r="U115" s="10"/>
      <c r="V115" s="10"/>
      <c r="W115" s="10"/>
      <c r="Y115" s="10"/>
      <c r="Z115" s="10"/>
      <c r="AA115" s="10"/>
      <c r="AB115" s="10"/>
      <c r="AC115" s="10"/>
      <c r="AD115" s="10"/>
      <c r="AE115" s="75"/>
      <c r="AF115" s="8"/>
      <c r="AG115" s="2" t="str">
        <f t="shared" si="2"/>
        <v/>
      </c>
      <c r="AH115" s="78" t="str">
        <f t="shared" si="3"/>
        <v/>
      </c>
    </row>
    <row r="116" spans="1:34" s="9" customFormat="1" x14ac:dyDescent="0.45">
      <c r="A116" s="24" t="s">
        <v>362</v>
      </c>
      <c r="B116" s="13"/>
      <c r="C116" s="22"/>
      <c r="D116" s="22" t="s">
        <v>432</v>
      </c>
      <c r="E116" s="13" t="s">
        <v>671</v>
      </c>
      <c r="F116" s="13"/>
      <c r="G116" s="13"/>
      <c r="H116"/>
      <c r="I116" s="7"/>
      <c r="J116" s="1"/>
      <c r="K116" s="1"/>
      <c r="L116" s="1"/>
      <c r="M116" s="1"/>
      <c r="N116" s="1"/>
      <c r="O116" s="1"/>
      <c r="P116" s="1"/>
      <c r="Q116" s="1"/>
      <c r="R116" s="74" t="s">
        <v>731</v>
      </c>
      <c r="S116" s="10"/>
      <c r="T116" s="10"/>
      <c r="U116" s="10"/>
      <c r="V116" s="10"/>
      <c r="W116" s="10"/>
      <c r="Y116" s="10"/>
      <c r="Z116" s="10"/>
      <c r="AA116" s="10"/>
      <c r="AB116" s="10"/>
      <c r="AC116" s="10"/>
      <c r="AD116" s="10"/>
      <c r="AE116" s="75"/>
      <c r="AF116" s="8"/>
      <c r="AG116" s="2" t="str">
        <f t="shared" si="2"/>
        <v/>
      </c>
      <c r="AH116" s="78" t="str">
        <f t="shared" si="3"/>
        <v/>
      </c>
    </row>
    <row r="117" spans="1:34" s="9" customFormat="1" x14ac:dyDescent="0.45">
      <c r="A117" s="24" t="s">
        <v>127</v>
      </c>
      <c r="B117" s="13"/>
      <c r="C117" s="25"/>
      <c r="D117" s="22" t="s">
        <v>432</v>
      </c>
      <c r="E117" s="13" t="s">
        <v>671</v>
      </c>
      <c r="F117" s="13"/>
      <c r="G117" s="13"/>
      <c r="H117"/>
      <c r="I117" s="7"/>
      <c r="J117" s="1"/>
      <c r="K117" s="1"/>
      <c r="L117" s="1"/>
      <c r="M117" s="1"/>
      <c r="N117" s="1"/>
      <c r="O117" s="1"/>
      <c r="P117" s="1"/>
      <c r="Q117" s="1"/>
      <c r="R117" s="74" t="s">
        <v>731</v>
      </c>
      <c r="S117" s="10"/>
      <c r="T117" s="10"/>
      <c r="U117" s="10"/>
      <c r="V117" s="10"/>
      <c r="W117" s="10"/>
      <c r="Y117" s="10"/>
      <c r="Z117" s="10"/>
      <c r="AA117" s="10"/>
      <c r="AB117" s="10"/>
      <c r="AC117" s="10"/>
      <c r="AD117" s="10"/>
      <c r="AE117" s="75"/>
      <c r="AF117" s="8"/>
      <c r="AG117" s="2" t="str">
        <f t="shared" si="2"/>
        <v/>
      </c>
      <c r="AH117" s="78" t="str">
        <f t="shared" si="3"/>
        <v/>
      </c>
    </row>
    <row r="118" spans="1:34" s="9" customFormat="1" x14ac:dyDescent="0.45">
      <c r="A118" s="24" t="s">
        <v>128</v>
      </c>
      <c r="B118" s="13"/>
      <c r="C118" s="25"/>
      <c r="D118" s="22" t="s">
        <v>432</v>
      </c>
      <c r="E118" s="13" t="s">
        <v>671</v>
      </c>
      <c r="F118" s="13"/>
      <c r="G118" s="13"/>
      <c r="H118"/>
      <c r="I118" s="7"/>
      <c r="J118" s="1"/>
      <c r="K118" s="1"/>
      <c r="L118" s="1"/>
      <c r="M118" s="1"/>
      <c r="N118" s="1"/>
      <c r="O118" s="1"/>
      <c r="P118" s="1"/>
      <c r="Q118" s="1"/>
      <c r="R118" s="74" t="s">
        <v>731</v>
      </c>
      <c r="S118" s="10"/>
      <c r="T118" s="10"/>
      <c r="U118" s="10"/>
      <c r="V118" s="10"/>
      <c r="W118" s="10"/>
      <c r="Y118" s="10"/>
      <c r="Z118" s="10"/>
      <c r="AA118" s="10"/>
      <c r="AB118" s="10"/>
      <c r="AC118" s="10"/>
      <c r="AD118" s="10"/>
      <c r="AE118" s="75"/>
      <c r="AF118" s="8"/>
      <c r="AG118" s="2" t="str">
        <f t="shared" si="2"/>
        <v/>
      </c>
      <c r="AH118" s="78" t="str">
        <f t="shared" si="3"/>
        <v/>
      </c>
    </row>
    <row r="119" spans="1:34" s="9" customFormat="1" x14ac:dyDescent="0.45">
      <c r="A119" s="24" t="s">
        <v>130</v>
      </c>
      <c r="B119" s="13"/>
      <c r="C119" s="26" t="s">
        <v>350</v>
      </c>
      <c r="D119" s="31" t="s">
        <v>434</v>
      </c>
      <c r="E119" s="13" t="str">
        <f>IF(ISBLANK(A119),"neu",IF(ISBLANK(C119),"weg",IF(A119&lt;&gt;C119,"geändert","")))</f>
        <v>geändert</v>
      </c>
      <c r="F119" s="13"/>
      <c r="G119" s="13"/>
      <c r="H119" s="87" t="s">
        <v>11</v>
      </c>
      <c r="I119" s="7"/>
      <c r="J119" s="1"/>
      <c r="K119" s="1"/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/>
      <c r="R119" s="74">
        <v>1</v>
      </c>
      <c r="S119" s="10"/>
      <c r="T119" s="10"/>
      <c r="U119" s="10"/>
      <c r="V119" s="10"/>
      <c r="W119" s="10"/>
      <c r="Y119" s="10"/>
      <c r="Z119" s="10"/>
      <c r="AA119" s="10"/>
      <c r="AB119" s="10"/>
      <c r="AC119" s="69">
        <v>1</v>
      </c>
      <c r="AD119" s="10"/>
      <c r="AE119" s="75"/>
      <c r="AF119" s="8"/>
      <c r="AG119" s="2">
        <f t="shared" si="2"/>
        <v>1</v>
      </c>
      <c r="AH119" s="78">
        <f t="shared" si="3"/>
        <v>11</v>
      </c>
    </row>
    <row r="120" spans="1:34" s="9" customFormat="1" x14ac:dyDescent="0.45">
      <c r="A120" s="24" t="s">
        <v>131</v>
      </c>
      <c r="B120" s="13"/>
      <c r="C120" s="16" t="s">
        <v>131</v>
      </c>
      <c r="D120" s="31" t="s">
        <v>436</v>
      </c>
      <c r="E120" s="13" t="str">
        <f>IF(ISBLANK(A120),"neu",IF(ISBLANK(C120),"weg",IF(A120&lt;&gt;C120,"geändert","")))</f>
        <v/>
      </c>
      <c r="F120" s="13"/>
      <c r="G120" s="13"/>
      <c r="H120" s="87" t="s">
        <v>11</v>
      </c>
      <c r="I120" s="7"/>
      <c r="J120" s="1"/>
      <c r="K120" s="1"/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/>
      <c r="R120" s="74">
        <v>1</v>
      </c>
      <c r="S120" s="10"/>
      <c r="T120" s="10"/>
      <c r="U120" s="69">
        <v>1</v>
      </c>
      <c r="V120" s="10"/>
      <c r="W120" s="10"/>
      <c r="Y120" s="10"/>
      <c r="Z120" s="10"/>
      <c r="AA120" s="10"/>
      <c r="AB120" s="10"/>
      <c r="AC120" s="10"/>
      <c r="AD120" s="10"/>
      <c r="AE120" s="75"/>
      <c r="AF120" s="8"/>
      <c r="AG120" s="2">
        <f t="shared" si="2"/>
        <v>1</v>
      </c>
      <c r="AH120" s="78">
        <f t="shared" si="3"/>
        <v>3</v>
      </c>
    </row>
    <row r="121" spans="1:34" s="9" customFormat="1" x14ac:dyDescent="0.45">
      <c r="A121" s="24" t="s">
        <v>132</v>
      </c>
      <c r="B121" s="13"/>
      <c r="C121" s="16" t="s">
        <v>240</v>
      </c>
      <c r="D121" s="16"/>
      <c r="E121" s="13" t="str">
        <f>IF(ISBLANK(A121),"neu",IF(ISBLANK(C121),"weg",IF(A121&lt;&gt;C121,"geändert","")))</f>
        <v>geändert</v>
      </c>
      <c r="F121" s="13"/>
      <c r="G121" s="13"/>
      <c r="H121" s="87" t="s">
        <v>11</v>
      </c>
      <c r="I121" s="7"/>
      <c r="J121" s="1"/>
      <c r="K121" s="1"/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/>
      <c r="R121" s="74">
        <v>1</v>
      </c>
      <c r="S121" s="10"/>
      <c r="T121" s="10"/>
      <c r="U121" s="10"/>
      <c r="V121" s="10"/>
      <c r="W121" s="10"/>
      <c r="Y121" s="10"/>
      <c r="Z121" s="10"/>
      <c r="AA121" s="10"/>
      <c r="AB121" s="10"/>
      <c r="AC121" s="10"/>
      <c r="AD121" s="10"/>
      <c r="AE121" s="69">
        <v>1</v>
      </c>
      <c r="AF121" s="8"/>
      <c r="AG121" s="2">
        <f t="shared" si="2"/>
        <v>1</v>
      </c>
      <c r="AH121" s="78">
        <f t="shared" si="3"/>
        <v>13</v>
      </c>
    </row>
    <row r="122" spans="1:34" s="9" customFormat="1" x14ac:dyDescent="0.45">
      <c r="A122" s="24" t="s">
        <v>133</v>
      </c>
      <c r="B122" s="13"/>
      <c r="C122" s="16" t="s">
        <v>241</v>
      </c>
      <c r="D122" s="16"/>
      <c r="E122" s="13" t="str">
        <f>IF(ISBLANK(A122),"neu",IF(ISBLANK(C122),"weg",IF(A122&lt;&gt;C122,"geändert","")))</f>
        <v>geändert</v>
      </c>
      <c r="F122" s="13"/>
      <c r="G122" s="13"/>
      <c r="H122" s="87" t="s">
        <v>11</v>
      </c>
      <c r="I122" s="7"/>
      <c r="J122" s="1"/>
      <c r="K122" s="1"/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/>
      <c r="R122" s="74">
        <v>1</v>
      </c>
      <c r="S122" s="10"/>
      <c r="T122" s="10"/>
      <c r="U122" s="10"/>
      <c r="V122" s="10"/>
      <c r="W122" s="10"/>
      <c r="Y122" s="10"/>
      <c r="Z122" s="10"/>
      <c r="AA122" s="10"/>
      <c r="AB122" s="10"/>
      <c r="AC122" s="10"/>
      <c r="AD122" s="10"/>
      <c r="AE122" s="69">
        <v>1</v>
      </c>
      <c r="AF122" s="8"/>
      <c r="AG122" s="2">
        <f t="shared" si="2"/>
        <v>1</v>
      </c>
      <c r="AH122" s="78">
        <f t="shared" si="3"/>
        <v>13</v>
      </c>
    </row>
    <row r="123" spans="1:34" s="9" customFormat="1" x14ac:dyDescent="0.45">
      <c r="A123" s="24" t="s">
        <v>134</v>
      </c>
      <c r="B123" s="13"/>
      <c r="C123" s="16" t="s">
        <v>134</v>
      </c>
      <c r="D123" s="16"/>
      <c r="E123" s="13" t="str">
        <f>IF(ISBLANK(A123),"neu",IF(ISBLANK(C123),"weg",IF(A123&lt;&gt;C123,"geändert","")))</f>
        <v/>
      </c>
      <c r="F123" s="13"/>
      <c r="G123" s="13"/>
      <c r="H123" s="87" t="s">
        <v>11</v>
      </c>
      <c r="I123" s="7"/>
      <c r="J123" s="1"/>
      <c r="K123" s="1"/>
      <c r="L123" s="1">
        <v>1</v>
      </c>
      <c r="M123" s="1">
        <v>1</v>
      </c>
      <c r="N123" s="1"/>
      <c r="O123" s="1"/>
      <c r="P123" s="1"/>
      <c r="Q123" s="1"/>
      <c r="R123" s="74">
        <v>1</v>
      </c>
      <c r="S123" s="10"/>
      <c r="T123" s="10"/>
      <c r="U123" s="10"/>
      <c r="V123" s="69">
        <v>1</v>
      </c>
      <c r="W123" s="10"/>
      <c r="Y123" s="10"/>
      <c r="Z123" s="10"/>
      <c r="AA123" s="10"/>
      <c r="AB123" s="10"/>
      <c r="AC123" s="10"/>
      <c r="AD123" s="10"/>
      <c r="AE123" s="75"/>
      <c r="AF123" s="8"/>
      <c r="AG123" s="2">
        <f t="shared" si="2"/>
        <v>1</v>
      </c>
      <c r="AH123" s="78">
        <f t="shared" si="3"/>
        <v>4</v>
      </c>
    </row>
    <row r="124" spans="1:34" s="9" customFormat="1" x14ac:dyDescent="0.45">
      <c r="A124" s="24" t="s">
        <v>135</v>
      </c>
      <c r="B124" s="13"/>
      <c r="C124" s="16" t="s">
        <v>135</v>
      </c>
      <c r="D124" s="16"/>
      <c r="E124" s="13" t="str">
        <f>IF(ISBLANK(A124),"neu",IF(ISBLANK(C124),"weg",IF(A124&lt;&gt;C124,"geändert","")))</f>
        <v/>
      </c>
      <c r="F124" s="13"/>
      <c r="G124" s="13"/>
      <c r="H124" s="87" t="s">
        <v>11</v>
      </c>
      <c r="I124" s="7"/>
      <c r="J124" s="1"/>
      <c r="K124" s="1"/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/>
      <c r="R124" s="74">
        <v>1</v>
      </c>
      <c r="S124" s="10"/>
      <c r="T124" s="10"/>
      <c r="U124" s="10"/>
      <c r="V124" s="69">
        <v>1</v>
      </c>
      <c r="W124" s="10"/>
      <c r="Y124" s="10"/>
      <c r="Z124" s="10"/>
      <c r="AA124" s="10"/>
      <c r="AB124" s="10"/>
      <c r="AC124" s="10"/>
      <c r="AD124" s="10"/>
      <c r="AE124" s="75"/>
      <c r="AF124" s="8"/>
      <c r="AG124" s="2">
        <f t="shared" si="2"/>
        <v>1</v>
      </c>
      <c r="AH124" s="78">
        <f t="shared" si="3"/>
        <v>4</v>
      </c>
    </row>
    <row r="125" spans="1:34" s="9" customFormat="1" x14ac:dyDescent="0.45">
      <c r="A125" s="24" t="s">
        <v>107</v>
      </c>
      <c r="B125" s="13"/>
      <c r="C125" s="26" t="s">
        <v>242</v>
      </c>
      <c r="D125" s="29"/>
      <c r="E125" s="13" t="str">
        <f>IF(ISBLANK(A125),"neu",IF(ISBLANK(C125),"weg",IF(A125&lt;&gt;C125,"geändert","")))</f>
        <v>geändert</v>
      </c>
      <c r="F125" s="13"/>
      <c r="G125" s="13"/>
      <c r="H125" s="87" t="s">
        <v>11</v>
      </c>
      <c r="I125" s="7"/>
      <c r="J125" s="1"/>
      <c r="K125" s="1"/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/>
      <c r="R125" s="74">
        <v>1</v>
      </c>
      <c r="S125" s="10"/>
      <c r="T125" s="10"/>
      <c r="U125" s="10"/>
      <c r="V125" s="10"/>
      <c r="W125" s="10"/>
      <c r="Y125" s="10"/>
      <c r="Z125" s="10"/>
      <c r="AA125" s="10"/>
      <c r="AB125" s="10"/>
      <c r="AC125" s="10"/>
      <c r="AD125" s="69">
        <v>1</v>
      </c>
      <c r="AE125" s="75"/>
      <c r="AF125" s="8"/>
      <c r="AG125" s="2">
        <f t="shared" si="2"/>
        <v>1</v>
      </c>
      <c r="AH125" s="78">
        <f t="shared" si="3"/>
        <v>12</v>
      </c>
    </row>
    <row r="126" spans="1:34" s="9" customFormat="1" x14ac:dyDescent="0.45">
      <c r="A126" s="24" t="s">
        <v>108</v>
      </c>
      <c r="B126" s="13"/>
      <c r="C126" s="26" t="s">
        <v>243</v>
      </c>
      <c r="D126" s="29"/>
      <c r="E126" s="13" t="str">
        <f>IF(ISBLANK(A126),"neu",IF(ISBLANK(C126),"weg",IF(A126&lt;&gt;C126,"geändert","")))</f>
        <v>geändert</v>
      </c>
      <c r="F126" s="13"/>
      <c r="G126" s="13"/>
      <c r="H126" s="87" t="s">
        <v>11</v>
      </c>
      <c r="I126" s="7"/>
      <c r="J126" s="1"/>
      <c r="K126" s="1"/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/>
      <c r="R126" s="74">
        <v>1</v>
      </c>
      <c r="S126" s="10"/>
      <c r="T126" s="10"/>
      <c r="U126" s="10"/>
      <c r="V126" s="10"/>
      <c r="W126" s="10"/>
      <c r="X126" s="69">
        <v>1</v>
      </c>
      <c r="Y126" s="10"/>
      <c r="Z126" s="10"/>
      <c r="AA126" s="10"/>
      <c r="AB126" s="10"/>
      <c r="AC126" s="10"/>
      <c r="AD126" s="10"/>
      <c r="AE126" s="75"/>
      <c r="AF126" s="8"/>
      <c r="AG126" s="2">
        <f t="shared" ref="AG126:AG188" si="4">IF(SUM(S126:AF126)&gt;0,SUM(S126:AF126),"")</f>
        <v>1</v>
      </c>
      <c r="AH126" s="78">
        <f t="shared" ref="AH126:AH188" si="5">IF(SUM(S126:AF126)&lt;1,"",S126*1+T126*2+U126*3+V126*4+W126*5+X126*6+Y126*7+Z126*8+AA126*9+AB126*10+AC126*11+AD126*12+AE126*13+AF126*14)</f>
        <v>6</v>
      </c>
    </row>
    <row r="127" spans="1:34" s="9" customFormat="1" x14ac:dyDescent="0.45">
      <c r="A127" s="16"/>
      <c r="B127" s="13"/>
      <c r="C127" s="29" t="s">
        <v>244</v>
      </c>
      <c r="D127" s="26" t="s">
        <v>437</v>
      </c>
      <c r="E127" s="13" t="str">
        <f>IF(ISBLANK(A127),"neu",IF(ISBLANK(C127),"weg",IF(A127&lt;&gt;C127,"geändert","")))</f>
        <v>neu</v>
      </c>
      <c r="F127" s="13"/>
      <c r="G127" s="13"/>
      <c r="H127" s="87" t="s">
        <v>11</v>
      </c>
      <c r="I127" s="36"/>
      <c r="J127" s="117"/>
      <c r="K127" s="117"/>
      <c r="L127" s="1">
        <v>1</v>
      </c>
      <c r="M127" s="117">
        <v>1</v>
      </c>
      <c r="N127" s="1">
        <v>1</v>
      </c>
      <c r="O127" s="1">
        <v>1</v>
      </c>
      <c r="P127" s="1">
        <v>1</v>
      </c>
      <c r="Q127" s="1"/>
      <c r="R127" s="74">
        <v>1</v>
      </c>
      <c r="S127" s="10"/>
      <c r="T127" s="10"/>
      <c r="U127" s="10"/>
      <c r="V127" s="10"/>
      <c r="W127" s="10"/>
      <c r="X127" s="69">
        <v>1</v>
      </c>
      <c r="Y127" s="10"/>
      <c r="Z127" s="10"/>
      <c r="AA127" s="10"/>
      <c r="AB127" s="10"/>
      <c r="AC127" s="10"/>
      <c r="AD127" s="10"/>
      <c r="AE127" s="75"/>
      <c r="AF127" s="8"/>
      <c r="AG127" s="2">
        <f t="shared" si="4"/>
        <v>1</v>
      </c>
      <c r="AH127" s="78">
        <f t="shared" si="5"/>
        <v>6</v>
      </c>
    </row>
    <row r="128" spans="1:34" s="9" customFormat="1" x14ac:dyDescent="0.45">
      <c r="A128" s="16" t="s">
        <v>245</v>
      </c>
      <c r="B128" s="13"/>
      <c r="C128" s="16" t="s">
        <v>245</v>
      </c>
      <c r="D128" s="16"/>
      <c r="E128" s="13" t="str">
        <f>IF(ISBLANK(A128),"neu",IF(ISBLANK(C128),"weg",IF(A128&lt;&gt;C128,"geändert","")))</f>
        <v/>
      </c>
      <c r="F128" s="13"/>
      <c r="G128" s="13"/>
      <c r="H128" s="87" t="s">
        <v>13</v>
      </c>
      <c r="I128" s="7"/>
      <c r="J128" s="1">
        <v>1</v>
      </c>
      <c r="K128" s="1"/>
      <c r="L128" s="1">
        <v>1</v>
      </c>
      <c r="M128" s="1"/>
      <c r="N128" s="1">
        <v>1</v>
      </c>
      <c r="O128" s="1">
        <v>1</v>
      </c>
      <c r="P128" s="1">
        <v>1</v>
      </c>
      <c r="Q128" s="1"/>
      <c r="R128" s="74">
        <v>1</v>
      </c>
      <c r="S128" s="10"/>
      <c r="T128" s="10"/>
      <c r="U128" s="10"/>
      <c r="V128" s="69">
        <v>1</v>
      </c>
      <c r="W128" s="10"/>
      <c r="Y128" s="10"/>
      <c r="Z128" s="10"/>
      <c r="AA128" s="10"/>
      <c r="AB128" s="10"/>
      <c r="AC128" s="10"/>
      <c r="AD128" s="10"/>
      <c r="AE128" s="75"/>
      <c r="AF128" s="8"/>
      <c r="AG128" s="2">
        <f t="shared" si="4"/>
        <v>1</v>
      </c>
      <c r="AH128" s="78">
        <f t="shared" si="5"/>
        <v>4</v>
      </c>
    </row>
    <row r="129" spans="1:34" s="9" customFormat="1" x14ac:dyDescent="0.45">
      <c r="A129" s="16" t="s">
        <v>246</v>
      </c>
      <c r="B129" s="13"/>
      <c r="C129" s="16" t="s">
        <v>246</v>
      </c>
      <c r="D129" s="16"/>
      <c r="E129" s="13" t="str">
        <f>IF(ISBLANK(A129),"neu",IF(ISBLANK(C129),"weg",IF(A129&lt;&gt;C129,"geändert","")))</f>
        <v/>
      </c>
      <c r="F129" s="13"/>
      <c r="G129" s="13"/>
      <c r="H129" s="87" t="s">
        <v>13</v>
      </c>
      <c r="I129" s="7"/>
      <c r="J129" s="1">
        <v>1</v>
      </c>
      <c r="K129" s="1"/>
      <c r="L129" s="1">
        <v>1</v>
      </c>
      <c r="M129" s="1"/>
      <c r="N129" s="1">
        <v>1</v>
      </c>
      <c r="O129" s="1">
        <v>1</v>
      </c>
      <c r="P129" s="1">
        <v>1</v>
      </c>
      <c r="Q129" s="1"/>
      <c r="R129" s="74">
        <v>1</v>
      </c>
      <c r="S129" s="10"/>
      <c r="T129" s="10"/>
      <c r="U129" s="10"/>
      <c r="V129" s="10"/>
      <c r="W129" s="69">
        <v>1</v>
      </c>
      <c r="Y129" s="10"/>
      <c r="Z129" s="10"/>
      <c r="AA129" s="10"/>
      <c r="AB129" s="10"/>
      <c r="AC129" s="10"/>
      <c r="AD129" s="10"/>
      <c r="AE129" s="75"/>
      <c r="AF129" s="8"/>
      <c r="AG129" s="2">
        <f t="shared" si="4"/>
        <v>1</v>
      </c>
      <c r="AH129" s="78">
        <f t="shared" si="5"/>
        <v>5</v>
      </c>
    </row>
    <row r="130" spans="1:34" s="9" customFormat="1" x14ac:dyDescent="0.45">
      <c r="A130" s="16" t="s">
        <v>363</v>
      </c>
      <c r="B130" s="13"/>
      <c r="C130" s="16" t="s">
        <v>247</v>
      </c>
      <c r="D130" s="16"/>
      <c r="E130" s="13" t="str">
        <f>IF(ISBLANK(A130),"neu",IF(ISBLANK(C130),"weg",IF(A130&lt;&gt;C130,"geändert","")))</f>
        <v>geändert</v>
      </c>
      <c r="F130" s="13"/>
      <c r="G130" s="13"/>
      <c r="H130" s="87" t="s">
        <v>13</v>
      </c>
      <c r="I130" s="7"/>
      <c r="J130" s="1">
        <v>1</v>
      </c>
      <c r="K130" s="1"/>
      <c r="L130" s="1">
        <v>1</v>
      </c>
      <c r="M130" s="1"/>
      <c r="N130" s="1">
        <v>1</v>
      </c>
      <c r="O130" s="1">
        <v>1</v>
      </c>
      <c r="P130" s="1">
        <v>1</v>
      </c>
      <c r="Q130" s="1"/>
      <c r="R130" s="74">
        <v>1</v>
      </c>
      <c r="S130" s="10"/>
      <c r="T130" s="10"/>
      <c r="U130" s="10"/>
      <c r="V130" s="10"/>
      <c r="W130" s="69">
        <v>1</v>
      </c>
      <c r="Y130" s="10"/>
      <c r="Z130" s="10"/>
      <c r="AA130" s="10"/>
      <c r="AB130" s="10"/>
      <c r="AC130" s="10"/>
      <c r="AD130" s="10"/>
      <c r="AE130" s="75"/>
      <c r="AF130" s="8"/>
      <c r="AG130" s="2">
        <f t="shared" si="4"/>
        <v>1</v>
      </c>
      <c r="AH130" s="78">
        <f t="shared" si="5"/>
        <v>5</v>
      </c>
    </row>
    <row r="131" spans="1:34" s="9" customFormat="1" x14ac:dyDescent="0.45">
      <c r="A131" s="16" t="s">
        <v>248</v>
      </c>
      <c r="B131" s="13"/>
      <c r="C131" s="16" t="s">
        <v>248</v>
      </c>
      <c r="D131" s="16"/>
      <c r="E131" s="13" t="str">
        <f>IF(ISBLANK(A131),"neu",IF(ISBLANK(C131),"weg",IF(A131&lt;&gt;C131,"geändert","")))</f>
        <v/>
      </c>
      <c r="F131" s="13"/>
      <c r="G131" s="13"/>
      <c r="H131" s="87" t="s">
        <v>13</v>
      </c>
      <c r="I131" s="7"/>
      <c r="J131" s="1">
        <v>1</v>
      </c>
      <c r="K131" s="1"/>
      <c r="L131" s="1">
        <v>1</v>
      </c>
      <c r="M131" s="1"/>
      <c r="N131" s="1">
        <v>1</v>
      </c>
      <c r="O131" s="1">
        <v>1</v>
      </c>
      <c r="P131" s="1">
        <v>1</v>
      </c>
      <c r="Q131" s="1"/>
      <c r="R131" s="74">
        <v>1</v>
      </c>
      <c r="S131" s="10"/>
      <c r="T131" s="10"/>
      <c r="U131" s="10"/>
      <c r="V131" s="10"/>
      <c r="W131" s="69">
        <v>1</v>
      </c>
      <c r="Y131" s="10"/>
      <c r="Z131" s="10"/>
      <c r="AA131" s="10"/>
      <c r="AB131" s="10"/>
      <c r="AC131" s="10"/>
      <c r="AD131" s="10"/>
      <c r="AE131" s="75"/>
      <c r="AF131" s="8"/>
      <c r="AG131" s="2">
        <f t="shared" si="4"/>
        <v>1</v>
      </c>
      <c r="AH131" s="78">
        <f t="shared" si="5"/>
        <v>5</v>
      </c>
    </row>
    <row r="132" spans="1:34" s="9" customFormat="1" x14ac:dyDescent="0.45">
      <c r="A132" s="16" t="s">
        <v>364</v>
      </c>
      <c r="B132" s="13"/>
      <c r="C132" s="16" t="s">
        <v>249</v>
      </c>
      <c r="D132" s="16"/>
      <c r="E132" s="13" t="str">
        <f>IF(ISBLANK(A132),"neu",IF(ISBLANK(C132),"weg",IF(A132&lt;&gt;C132,"geändert","")))</f>
        <v>geändert</v>
      </c>
      <c r="F132" s="13"/>
      <c r="G132" s="13"/>
      <c r="H132" s="87" t="s">
        <v>14</v>
      </c>
      <c r="I132" s="7"/>
      <c r="J132" s="116">
        <v>1</v>
      </c>
      <c r="K132" s="1"/>
      <c r="L132" s="1">
        <v>1</v>
      </c>
      <c r="M132" s="1"/>
      <c r="N132" s="1">
        <v>1</v>
      </c>
      <c r="O132" s="1">
        <v>1</v>
      </c>
      <c r="P132" s="1">
        <v>1</v>
      </c>
      <c r="Q132" s="1"/>
      <c r="R132" s="74">
        <v>1</v>
      </c>
      <c r="S132" s="10"/>
      <c r="T132" s="10"/>
      <c r="U132" s="10"/>
      <c r="V132" s="10"/>
      <c r="W132" s="69">
        <v>1</v>
      </c>
      <c r="Y132" s="10"/>
      <c r="Z132" s="10"/>
      <c r="AA132" s="10"/>
      <c r="AB132" s="10"/>
      <c r="AC132" s="10"/>
      <c r="AD132" s="10"/>
      <c r="AE132" s="75"/>
      <c r="AF132" s="8"/>
      <c r="AG132" s="2">
        <f t="shared" si="4"/>
        <v>1</v>
      </c>
      <c r="AH132" s="78">
        <f t="shared" si="5"/>
        <v>5</v>
      </c>
    </row>
    <row r="133" spans="1:34" s="9" customFormat="1" x14ac:dyDescent="0.45">
      <c r="A133" s="16" t="s">
        <v>250</v>
      </c>
      <c r="B133" s="13"/>
      <c r="C133" s="16" t="s">
        <v>250</v>
      </c>
      <c r="D133" s="16"/>
      <c r="E133" s="13" t="str">
        <f>IF(ISBLANK(A133),"neu",IF(ISBLANK(C133),"weg",IF(A133&lt;&gt;C133,"geändert","")))</f>
        <v/>
      </c>
      <c r="F133" s="13"/>
      <c r="G133" s="13"/>
      <c r="H133" s="87" t="s">
        <v>14</v>
      </c>
      <c r="I133" s="7"/>
      <c r="J133" s="1">
        <v>1</v>
      </c>
      <c r="K133" s="1"/>
      <c r="L133" s="1">
        <v>1</v>
      </c>
      <c r="M133" s="1"/>
      <c r="N133" s="1">
        <v>1</v>
      </c>
      <c r="O133" s="1">
        <v>1</v>
      </c>
      <c r="P133" s="1">
        <v>1</v>
      </c>
      <c r="Q133" s="1"/>
      <c r="R133" s="74">
        <v>1</v>
      </c>
      <c r="S133" s="10"/>
      <c r="T133" s="10"/>
      <c r="U133" s="10"/>
      <c r="V133" s="10"/>
      <c r="W133" s="69">
        <v>1</v>
      </c>
      <c r="Y133" s="10"/>
      <c r="Z133" s="10"/>
      <c r="AA133" s="10"/>
      <c r="AB133" s="10"/>
      <c r="AC133" s="10"/>
      <c r="AD133" s="10"/>
      <c r="AE133" s="75"/>
      <c r="AF133" s="8"/>
      <c r="AG133" s="2">
        <f t="shared" si="4"/>
        <v>1</v>
      </c>
      <c r="AH133" s="78">
        <f t="shared" si="5"/>
        <v>5</v>
      </c>
    </row>
    <row r="134" spans="1:34" s="9" customFormat="1" x14ac:dyDescent="0.45">
      <c r="A134" s="39" t="s">
        <v>454</v>
      </c>
      <c r="B134" s="13"/>
      <c r="C134" s="39" t="s">
        <v>454</v>
      </c>
      <c r="D134" s="16"/>
      <c r="E134" s="13" t="str">
        <f>IF(ISBLANK(A134),"neu",IF(ISBLANK(C134),"weg",IF(A134&lt;&gt;C134,"geändert","")))</f>
        <v/>
      </c>
      <c r="F134" s="13"/>
      <c r="G134" s="13"/>
      <c r="H134" s="47" t="s">
        <v>15</v>
      </c>
      <c r="I134" s="7"/>
      <c r="J134" s="116">
        <v>1</v>
      </c>
      <c r="K134" s="1"/>
      <c r="L134" s="1">
        <v>1</v>
      </c>
      <c r="M134" s="1"/>
      <c r="N134" s="1">
        <v>1</v>
      </c>
      <c r="O134" s="1">
        <v>1</v>
      </c>
      <c r="P134" s="1">
        <v>1</v>
      </c>
      <c r="Q134" s="1"/>
      <c r="R134" s="74">
        <v>1</v>
      </c>
      <c r="S134" s="10"/>
      <c r="T134" s="10"/>
      <c r="U134" s="10"/>
      <c r="V134" s="10"/>
      <c r="W134" s="69">
        <v>1</v>
      </c>
      <c r="Y134" s="10"/>
      <c r="Z134" s="10"/>
      <c r="AA134" s="10"/>
      <c r="AB134" s="10"/>
      <c r="AC134" s="10"/>
      <c r="AD134" s="10"/>
      <c r="AE134" s="75"/>
      <c r="AF134" s="8"/>
      <c r="AG134" s="2">
        <f t="shared" si="4"/>
        <v>1</v>
      </c>
      <c r="AH134" s="78">
        <f t="shared" si="5"/>
        <v>5</v>
      </c>
    </row>
    <row r="135" spans="1:34" s="9" customFormat="1" x14ac:dyDescent="0.45">
      <c r="A135" s="39" t="s">
        <v>455</v>
      </c>
      <c r="B135" s="13"/>
      <c r="C135" s="39" t="s">
        <v>455</v>
      </c>
      <c r="D135" s="16"/>
      <c r="E135" s="13" t="str">
        <f>IF(ISBLANK(A135),"neu",IF(ISBLANK(C135),"weg",IF(A135&lt;&gt;C135,"geändert","")))</f>
        <v/>
      </c>
      <c r="F135" s="13"/>
      <c r="G135" s="13"/>
      <c r="H135" s="47" t="s">
        <v>15</v>
      </c>
      <c r="I135" s="7"/>
      <c r="J135" s="116">
        <v>1</v>
      </c>
      <c r="K135" s="1"/>
      <c r="L135" s="1">
        <v>1</v>
      </c>
      <c r="M135" s="1"/>
      <c r="N135" s="1">
        <v>1</v>
      </c>
      <c r="O135" s="1">
        <v>1</v>
      </c>
      <c r="P135" s="1">
        <v>1</v>
      </c>
      <c r="Q135" s="1"/>
      <c r="R135" s="74">
        <v>1</v>
      </c>
      <c r="S135" s="10"/>
      <c r="T135" s="10"/>
      <c r="U135" s="10"/>
      <c r="V135" s="10"/>
      <c r="W135" s="69">
        <v>1</v>
      </c>
      <c r="Y135" s="10"/>
      <c r="Z135" s="10"/>
      <c r="AA135" s="10"/>
      <c r="AB135" s="10"/>
      <c r="AC135" s="10"/>
      <c r="AD135" s="10"/>
      <c r="AE135" s="75"/>
      <c r="AF135" s="8"/>
      <c r="AG135" s="2">
        <f t="shared" si="4"/>
        <v>1</v>
      </c>
      <c r="AH135" s="78">
        <f t="shared" si="5"/>
        <v>5</v>
      </c>
    </row>
    <row r="136" spans="1:34" s="9" customFormat="1" x14ac:dyDescent="0.45">
      <c r="A136" s="39" t="s">
        <v>456</v>
      </c>
      <c r="B136" s="13"/>
      <c r="C136" s="40" t="s">
        <v>456</v>
      </c>
      <c r="D136" s="16"/>
      <c r="E136" s="13" t="str">
        <f>IF(ISBLANK(A136),"neu",IF(ISBLANK(C136),"weg",IF(A136&lt;&gt;C136,"geändert","")))</f>
        <v/>
      </c>
      <c r="F136" s="13"/>
      <c r="G136" s="13"/>
      <c r="H136" s="47" t="s">
        <v>15</v>
      </c>
      <c r="I136" s="7"/>
      <c r="J136" s="116">
        <v>1</v>
      </c>
      <c r="K136" s="1"/>
      <c r="L136" s="1">
        <v>1</v>
      </c>
      <c r="M136" s="1"/>
      <c r="N136" s="1">
        <v>1</v>
      </c>
      <c r="O136" s="1">
        <v>1</v>
      </c>
      <c r="P136" s="1">
        <v>1</v>
      </c>
      <c r="Q136" s="1"/>
      <c r="R136" s="74">
        <v>1</v>
      </c>
      <c r="S136" s="10"/>
      <c r="T136" s="10"/>
      <c r="U136" s="10"/>
      <c r="V136" s="10"/>
      <c r="W136" s="69">
        <v>1</v>
      </c>
      <c r="Y136" s="10"/>
      <c r="Z136" s="10"/>
      <c r="AA136" s="10"/>
      <c r="AB136" s="10"/>
      <c r="AC136" s="10"/>
      <c r="AD136" s="10"/>
      <c r="AE136" s="75"/>
      <c r="AF136" s="8"/>
      <c r="AG136" s="2">
        <f t="shared" si="4"/>
        <v>1</v>
      </c>
      <c r="AH136" s="78">
        <f t="shared" si="5"/>
        <v>5</v>
      </c>
    </row>
    <row r="137" spans="1:34" s="9" customFormat="1" x14ac:dyDescent="0.45">
      <c r="A137" s="40" t="s">
        <v>457</v>
      </c>
      <c r="B137" s="13"/>
      <c r="C137" s="40" t="s">
        <v>457</v>
      </c>
      <c r="D137" s="16"/>
      <c r="E137" s="13" t="str">
        <f>IF(ISBLANK(A137),"neu",IF(ISBLANK(C137),"weg",IF(A137&lt;&gt;C137,"geändert","")))</f>
        <v/>
      </c>
      <c r="F137" s="13"/>
      <c r="G137" s="13"/>
      <c r="H137" s="47" t="s">
        <v>15</v>
      </c>
      <c r="I137" s="7"/>
      <c r="J137" s="116">
        <v>1</v>
      </c>
      <c r="K137" s="1"/>
      <c r="L137" s="1">
        <v>1</v>
      </c>
      <c r="M137" s="1"/>
      <c r="N137" s="1">
        <v>1</v>
      </c>
      <c r="O137" s="1">
        <v>1</v>
      </c>
      <c r="P137" s="1">
        <v>1</v>
      </c>
      <c r="Q137" s="1"/>
      <c r="R137" s="74">
        <v>1</v>
      </c>
      <c r="S137" s="10"/>
      <c r="T137" s="10"/>
      <c r="U137" s="10"/>
      <c r="V137" s="10"/>
      <c r="W137" s="69">
        <v>1</v>
      </c>
      <c r="Y137" s="10"/>
      <c r="Z137" s="10"/>
      <c r="AA137" s="10"/>
      <c r="AB137" s="10"/>
      <c r="AC137" s="10"/>
      <c r="AD137" s="10"/>
      <c r="AE137" s="75"/>
      <c r="AF137" s="8"/>
      <c r="AG137" s="2">
        <f t="shared" si="4"/>
        <v>1</v>
      </c>
      <c r="AH137" s="78">
        <f t="shared" si="5"/>
        <v>5</v>
      </c>
    </row>
    <row r="138" spans="1:34" s="9" customFormat="1" x14ac:dyDescent="0.45">
      <c r="A138" s="16" t="s">
        <v>251</v>
      </c>
      <c r="B138" s="13"/>
      <c r="C138" s="16" t="s">
        <v>251</v>
      </c>
      <c r="D138" s="16"/>
      <c r="E138" s="13" t="str">
        <f>IF(ISBLANK(A138),"neu",IF(ISBLANK(C138),"weg",IF(A138&lt;&gt;C138,"geändert","")))</f>
        <v/>
      </c>
      <c r="F138" s="13"/>
      <c r="G138" s="13"/>
      <c r="H138" s="13" t="s">
        <v>13</v>
      </c>
      <c r="I138" s="7"/>
      <c r="J138" s="1">
        <v>1</v>
      </c>
      <c r="K138" s="1"/>
      <c r="L138" s="1">
        <v>1</v>
      </c>
      <c r="M138" s="1"/>
      <c r="N138" s="1">
        <v>1</v>
      </c>
      <c r="O138" s="1">
        <v>1</v>
      </c>
      <c r="P138" s="1">
        <v>1</v>
      </c>
      <c r="Q138" s="1"/>
      <c r="R138" s="74">
        <v>1</v>
      </c>
      <c r="S138" s="69">
        <v>1</v>
      </c>
      <c r="T138" s="10"/>
      <c r="U138" s="10"/>
      <c r="V138" s="10"/>
      <c r="W138" s="10"/>
      <c r="Y138" s="10"/>
      <c r="Z138" s="10"/>
      <c r="AA138" s="10"/>
      <c r="AB138" s="10"/>
      <c r="AC138" s="10"/>
      <c r="AD138" s="10"/>
      <c r="AE138" s="75"/>
      <c r="AF138" s="8"/>
      <c r="AG138" s="2">
        <f t="shared" si="4"/>
        <v>1</v>
      </c>
      <c r="AH138" s="78">
        <f t="shared" si="5"/>
        <v>1</v>
      </c>
    </row>
    <row r="139" spans="1:34" s="9" customFormat="1" x14ac:dyDescent="0.45">
      <c r="A139" s="16" t="s">
        <v>252</v>
      </c>
      <c r="B139" s="13"/>
      <c r="C139" s="16" t="s">
        <v>252</v>
      </c>
      <c r="D139" s="16"/>
      <c r="E139" s="13" t="str">
        <f>IF(ISBLANK(A139),"neu",IF(ISBLANK(C139),"weg",IF(A139&lt;&gt;C139,"geändert","")))</f>
        <v/>
      </c>
      <c r="F139" s="13"/>
      <c r="G139" s="13"/>
      <c r="H139" s="13" t="s">
        <v>13</v>
      </c>
      <c r="I139" s="7"/>
      <c r="J139" s="1">
        <v>1</v>
      </c>
      <c r="K139" s="1"/>
      <c r="L139" s="1">
        <v>1</v>
      </c>
      <c r="M139" s="1"/>
      <c r="N139" s="1">
        <v>1</v>
      </c>
      <c r="O139" s="1">
        <v>1</v>
      </c>
      <c r="P139" s="1">
        <v>1</v>
      </c>
      <c r="Q139" s="1"/>
      <c r="R139" s="74">
        <v>1</v>
      </c>
      <c r="S139" s="69">
        <v>1</v>
      </c>
      <c r="T139" s="10"/>
      <c r="U139" s="10"/>
      <c r="V139" s="10"/>
      <c r="W139" s="10"/>
      <c r="Y139" s="10"/>
      <c r="Z139" s="10"/>
      <c r="AA139" s="10"/>
      <c r="AB139" s="10"/>
      <c r="AC139" s="10"/>
      <c r="AD139" s="10"/>
      <c r="AE139" s="75"/>
      <c r="AF139" s="8"/>
      <c r="AG139" s="2">
        <f t="shared" si="4"/>
        <v>1</v>
      </c>
      <c r="AH139" s="78">
        <f t="shared" si="5"/>
        <v>1</v>
      </c>
    </row>
    <row r="140" spans="1:34" s="9" customFormat="1" x14ac:dyDescent="0.45">
      <c r="A140" s="16" t="s">
        <v>253</v>
      </c>
      <c r="B140" s="13"/>
      <c r="C140" s="16" t="s">
        <v>253</v>
      </c>
      <c r="D140" s="16"/>
      <c r="E140" s="13" t="str">
        <f>IF(ISBLANK(A140),"neu",IF(ISBLANK(C140),"weg",IF(A140&lt;&gt;C140,"geändert","")))</f>
        <v/>
      </c>
      <c r="F140" s="13"/>
      <c r="G140" s="13"/>
      <c r="H140" s="13" t="s">
        <v>13</v>
      </c>
      <c r="I140" s="7"/>
      <c r="J140" s="1">
        <v>1</v>
      </c>
      <c r="K140" s="1"/>
      <c r="L140" s="1">
        <v>1</v>
      </c>
      <c r="M140" s="1"/>
      <c r="N140" s="1">
        <v>1</v>
      </c>
      <c r="O140" s="1">
        <v>1</v>
      </c>
      <c r="P140" s="1">
        <v>1</v>
      </c>
      <c r="Q140" s="1"/>
      <c r="R140" s="74">
        <v>1</v>
      </c>
      <c r="S140" s="69">
        <v>1</v>
      </c>
      <c r="T140" s="10"/>
      <c r="U140" s="10"/>
      <c r="V140" s="10"/>
      <c r="W140" s="10"/>
      <c r="Y140" s="10"/>
      <c r="Z140" s="10"/>
      <c r="AA140" s="10"/>
      <c r="AB140" s="10"/>
      <c r="AC140" s="10"/>
      <c r="AD140" s="10"/>
      <c r="AE140" s="75"/>
      <c r="AF140" s="8"/>
      <c r="AG140" s="2">
        <f t="shared" si="4"/>
        <v>1</v>
      </c>
      <c r="AH140" s="78">
        <f t="shared" si="5"/>
        <v>1</v>
      </c>
    </row>
    <row r="141" spans="1:34" s="9" customFormat="1" x14ac:dyDescent="0.45">
      <c r="A141" s="16" t="s">
        <v>254</v>
      </c>
      <c r="B141" s="13"/>
      <c r="C141" s="16" t="s">
        <v>254</v>
      </c>
      <c r="D141" s="16"/>
      <c r="E141" s="13" t="str">
        <f>IF(ISBLANK(A141),"neu",IF(ISBLANK(C141),"weg",IF(A141&lt;&gt;C141,"geändert","")))</f>
        <v/>
      </c>
      <c r="F141" s="13"/>
      <c r="G141" s="13"/>
      <c r="H141" s="13" t="s">
        <v>14</v>
      </c>
      <c r="I141" s="7"/>
      <c r="J141" s="1">
        <v>1</v>
      </c>
      <c r="K141" s="1"/>
      <c r="L141" s="1">
        <v>1</v>
      </c>
      <c r="M141" s="1"/>
      <c r="N141" s="1">
        <v>1</v>
      </c>
      <c r="O141" s="1">
        <v>1</v>
      </c>
      <c r="P141" s="1">
        <v>1</v>
      </c>
      <c r="Q141" s="1"/>
      <c r="R141" s="74">
        <v>1</v>
      </c>
      <c r="S141" s="10"/>
      <c r="T141" s="10"/>
      <c r="U141" s="10"/>
      <c r="V141" s="10"/>
      <c r="W141" s="10"/>
      <c r="Y141" s="10"/>
      <c r="Z141" s="10"/>
      <c r="AA141" s="69">
        <v>1</v>
      </c>
      <c r="AB141" s="10"/>
      <c r="AC141" s="10"/>
      <c r="AD141" s="10"/>
      <c r="AE141" s="75"/>
      <c r="AF141" s="8"/>
      <c r="AG141" s="2">
        <f t="shared" si="4"/>
        <v>1</v>
      </c>
      <c r="AH141" s="78">
        <f t="shared" si="5"/>
        <v>9</v>
      </c>
    </row>
    <row r="142" spans="1:34" s="9" customFormat="1" x14ac:dyDescent="0.45">
      <c r="A142" s="16" t="s">
        <v>255</v>
      </c>
      <c r="B142" s="13"/>
      <c r="C142" s="16" t="s">
        <v>255</v>
      </c>
      <c r="D142" s="16"/>
      <c r="E142" s="13" t="str">
        <f>IF(ISBLANK(A142),"neu",IF(ISBLANK(C142),"weg",IF(A142&lt;&gt;C142,"geändert","")))</f>
        <v/>
      </c>
      <c r="F142" s="13"/>
      <c r="G142" s="13"/>
      <c r="H142" s="13" t="s">
        <v>14</v>
      </c>
      <c r="I142" s="7"/>
      <c r="J142" s="1">
        <v>1</v>
      </c>
      <c r="K142" s="1"/>
      <c r="L142" s="1">
        <v>1</v>
      </c>
      <c r="M142" s="1"/>
      <c r="N142" s="1">
        <v>1</v>
      </c>
      <c r="O142" s="1">
        <v>1</v>
      </c>
      <c r="P142" s="1">
        <v>1</v>
      </c>
      <c r="Q142" s="1"/>
      <c r="R142" s="74">
        <v>1</v>
      </c>
      <c r="S142" s="10"/>
      <c r="T142" s="10"/>
      <c r="U142" s="10"/>
      <c r="V142" s="10"/>
      <c r="W142" s="10"/>
      <c r="Y142" s="10"/>
      <c r="Z142" s="69">
        <v>1</v>
      </c>
      <c r="AA142" s="10"/>
      <c r="AB142" s="10"/>
      <c r="AC142" s="10"/>
      <c r="AD142" s="10"/>
      <c r="AE142" s="75"/>
      <c r="AF142" s="8"/>
      <c r="AG142" s="2">
        <f t="shared" si="4"/>
        <v>1</v>
      </c>
      <c r="AH142" s="78">
        <f t="shared" si="5"/>
        <v>8</v>
      </c>
    </row>
    <row r="143" spans="1:34" s="9" customFormat="1" x14ac:dyDescent="0.45">
      <c r="A143" s="40" t="s">
        <v>458</v>
      </c>
      <c r="B143" s="13"/>
      <c r="C143" s="40" t="s">
        <v>458</v>
      </c>
      <c r="D143" s="16"/>
      <c r="E143" s="13" t="str">
        <f>IF(ISBLANK(A143),"neu",IF(ISBLANK(C143),"weg",IF(A143&lt;&gt;C143,"geändert","")))</f>
        <v/>
      </c>
      <c r="F143" s="13"/>
      <c r="G143" s="13"/>
      <c r="H143" s="47" t="s">
        <v>15</v>
      </c>
      <c r="I143" s="7"/>
      <c r="J143" s="116">
        <v>1</v>
      </c>
      <c r="K143" s="1"/>
      <c r="L143" s="1">
        <v>1</v>
      </c>
      <c r="M143" s="1"/>
      <c r="N143" s="1">
        <v>1</v>
      </c>
      <c r="O143" s="1">
        <v>1</v>
      </c>
      <c r="P143" s="1">
        <v>1</v>
      </c>
      <c r="Q143" s="1"/>
      <c r="R143" s="74">
        <v>1</v>
      </c>
      <c r="S143" s="10"/>
      <c r="T143" s="10"/>
      <c r="U143" s="10"/>
      <c r="V143" s="10"/>
      <c r="W143" s="10"/>
      <c r="Y143" s="10"/>
      <c r="Z143" s="69">
        <v>1</v>
      </c>
      <c r="AA143" s="10"/>
      <c r="AB143" s="10"/>
      <c r="AC143" s="10"/>
      <c r="AD143" s="10"/>
      <c r="AE143" s="75"/>
      <c r="AF143" s="8"/>
      <c r="AG143" s="2">
        <f t="shared" si="4"/>
        <v>1</v>
      </c>
      <c r="AH143" s="78">
        <f t="shared" si="5"/>
        <v>8</v>
      </c>
    </row>
    <row r="144" spans="1:34" s="9" customFormat="1" x14ac:dyDescent="0.45">
      <c r="A144" s="16" t="s">
        <v>256</v>
      </c>
      <c r="B144" s="13"/>
      <c r="C144" s="16" t="s">
        <v>256</v>
      </c>
      <c r="D144" s="16"/>
      <c r="E144" s="13" t="str">
        <f>IF(ISBLANK(A144),"neu",IF(ISBLANK(C144),"weg",IF(A144&lt;&gt;C144,"geändert","")))</f>
        <v/>
      </c>
      <c r="F144" s="13"/>
      <c r="G144" s="13"/>
      <c r="H144" s="13" t="s">
        <v>13</v>
      </c>
      <c r="I144" s="7"/>
      <c r="J144" s="1">
        <v>1</v>
      </c>
      <c r="K144" s="1"/>
      <c r="L144" s="1">
        <v>1</v>
      </c>
      <c r="M144" s="1"/>
      <c r="N144" s="1">
        <v>1</v>
      </c>
      <c r="O144" s="1">
        <v>1</v>
      </c>
      <c r="P144" s="1">
        <v>1</v>
      </c>
      <c r="Q144" s="1"/>
      <c r="R144" s="74">
        <v>1</v>
      </c>
      <c r="S144" s="10"/>
      <c r="T144" s="10"/>
      <c r="U144" s="10"/>
      <c r="V144" s="10"/>
      <c r="W144" s="10"/>
      <c r="X144" s="69">
        <v>1</v>
      </c>
      <c r="Y144" s="10"/>
      <c r="Z144" s="10"/>
      <c r="AA144" s="10"/>
      <c r="AB144" s="10"/>
      <c r="AC144" s="10"/>
      <c r="AD144" s="10"/>
      <c r="AE144" s="75"/>
      <c r="AF144" s="8"/>
      <c r="AG144" s="2">
        <f t="shared" si="4"/>
        <v>1</v>
      </c>
      <c r="AH144" s="78">
        <f t="shared" si="5"/>
        <v>6</v>
      </c>
    </row>
    <row r="145" spans="1:34" s="9" customFormat="1" x14ac:dyDescent="0.45">
      <c r="A145" s="16" t="s">
        <v>257</v>
      </c>
      <c r="B145" s="13"/>
      <c r="C145" s="16" t="s">
        <v>257</v>
      </c>
      <c r="D145" s="16"/>
      <c r="E145" s="13" t="str">
        <f>IF(ISBLANK(A145),"neu",IF(ISBLANK(C145),"weg",IF(A145&lt;&gt;C145,"geändert","")))</f>
        <v/>
      </c>
      <c r="F145" s="13"/>
      <c r="G145" s="13"/>
      <c r="H145" s="13" t="s">
        <v>13</v>
      </c>
      <c r="I145" s="7"/>
      <c r="J145" s="1">
        <v>1</v>
      </c>
      <c r="K145" s="1"/>
      <c r="L145" s="1">
        <v>1</v>
      </c>
      <c r="M145" s="1"/>
      <c r="N145" s="1">
        <v>1</v>
      </c>
      <c r="O145" s="1">
        <v>1</v>
      </c>
      <c r="P145" s="1">
        <v>1</v>
      </c>
      <c r="Q145" s="1"/>
      <c r="R145" s="74">
        <v>1</v>
      </c>
      <c r="S145" s="10"/>
      <c r="T145" s="10"/>
      <c r="U145" s="10"/>
      <c r="V145" s="10"/>
      <c r="W145" s="10"/>
      <c r="Y145" s="69">
        <v>1</v>
      </c>
      <c r="Z145" s="10"/>
      <c r="AA145" s="10"/>
      <c r="AB145" s="10"/>
      <c r="AC145" s="10"/>
      <c r="AD145" s="10"/>
      <c r="AE145" s="75"/>
      <c r="AF145" s="8"/>
      <c r="AG145" s="2">
        <f t="shared" si="4"/>
        <v>1</v>
      </c>
      <c r="AH145" s="78">
        <f t="shared" si="5"/>
        <v>7</v>
      </c>
    </row>
    <row r="146" spans="1:34" s="9" customFormat="1" x14ac:dyDescent="0.45">
      <c r="A146" s="16" t="s">
        <v>258</v>
      </c>
      <c r="B146" s="13"/>
      <c r="C146" s="16" t="s">
        <v>258</v>
      </c>
      <c r="D146" s="16"/>
      <c r="E146" s="13" t="str">
        <f>IF(ISBLANK(A146),"neu",IF(ISBLANK(C146),"weg",IF(A146&lt;&gt;C146,"geändert","")))</f>
        <v/>
      </c>
      <c r="F146" s="13"/>
      <c r="G146" s="13"/>
      <c r="H146" s="13" t="s">
        <v>14</v>
      </c>
      <c r="I146" s="7"/>
      <c r="J146" s="1">
        <v>1</v>
      </c>
      <c r="K146" s="1"/>
      <c r="L146" s="1">
        <v>1</v>
      </c>
      <c r="M146" s="1"/>
      <c r="N146" s="1">
        <v>1</v>
      </c>
      <c r="O146" s="1">
        <v>1</v>
      </c>
      <c r="P146" s="1">
        <v>1</v>
      </c>
      <c r="Q146" s="1"/>
      <c r="R146" s="74">
        <v>1</v>
      </c>
      <c r="S146" s="10"/>
      <c r="T146" s="10"/>
      <c r="U146" s="10"/>
      <c r="V146" s="10"/>
      <c r="W146" s="10"/>
      <c r="X146" s="69">
        <v>1</v>
      </c>
      <c r="Y146" s="10"/>
      <c r="Z146" s="10"/>
      <c r="AA146" s="10"/>
      <c r="AB146" s="10"/>
      <c r="AC146" s="10"/>
      <c r="AD146" s="10"/>
      <c r="AE146" s="75"/>
      <c r="AF146" s="8"/>
      <c r="AG146" s="2">
        <f t="shared" si="4"/>
        <v>1</v>
      </c>
      <c r="AH146" s="78">
        <f t="shared" si="5"/>
        <v>6</v>
      </c>
    </row>
    <row r="147" spans="1:34" s="9" customFormat="1" x14ac:dyDescent="0.45">
      <c r="A147" s="16" t="s">
        <v>259</v>
      </c>
      <c r="B147" s="13"/>
      <c r="C147" s="16" t="s">
        <v>259</v>
      </c>
      <c r="D147" s="16"/>
      <c r="E147" s="13" t="str">
        <f>IF(ISBLANK(A147),"neu",IF(ISBLANK(C147),"weg",IF(A147&lt;&gt;C147,"geändert","")))</f>
        <v/>
      </c>
      <c r="F147" s="13"/>
      <c r="G147" s="13"/>
      <c r="H147" s="13" t="s">
        <v>14</v>
      </c>
      <c r="I147" s="7"/>
      <c r="J147" s="1">
        <v>1</v>
      </c>
      <c r="K147" s="1"/>
      <c r="L147" s="1">
        <v>1</v>
      </c>
      <c r="M147" s="1"/>
      <c r="N147" s="1">
        <v>1</v>
      </c>
      <c r="O147" s="1">
        <v>1</v>
      </c>
      <c r="P147" s="1">
        <v>1</v>
      </c>
      <c r="Q147" s="1"/>
      <c r="R147" s="74">
        <v>1</v>
      </c>
      <c r="S147" s="10"/>
      <c r="T147" s="10"/>
      <c r="U147" s="10"/>
      <c r="V147" s="10"/>
      <c r="W147" s="10"/>
      <c r="X147" s="69">
        <v>1</v>
      </c>
      <c r="Y147" s="10"/>
      <c r="Z147" s="10"/>
      <c r="AA147" s="10"/>
      <c r="AB147" s="10"/>
      <c r="AC147" s="10"/>
      <c r="AD147" s="10"/>
      <c r="AE147" s="75"/>
      <c r="AF147" s="8"/>
      <c r="AG147" s="2">
        <f t="shared" si="4"/>
        <v>1</v>
      </c>
      <c r="AH147" s="78">
        <f t="shared" si="5"/>
        <v>6</v>
      </c>
    </row>
    <row r="148" spans="1:34" s="9" customFormat="1" x14ac:dyDescent="0.45">
      <c r="A148" s="16" t="s">
        <v>260</v>
      </c>
      <c r="B148" s="13"/>
      <c r="C148" s="16" t="s">
        <v>260</v>
      </c>
      <c r="D148" s="16"/>
      <c r="E148" s="13" t="str">
        <f>IF(ISBLANK(A148),"neu",IF(ISBLANK(C148),"weg",IF(A148&lt;&gt;C148,"geändert","")))</f>
        <v/>
      </c>
      <c r="F148" s="13"/>
      <c r="G148" s="13"/>
      <c r="H148" s="13" t="s">
        <v>14</v>
      </c>
      <c r="I148" s="7"/>
      <c r="J148" s="1">
        <v>1</v>
      </c>
      <c r="K148" s="1"/>
      <c r="L148" s="1">
        <v>1</v>
      </c>
      <c r="M148" s="1"/>
      <c r="N148" s="1">
        <v>1</v>
      </c>
      <c r="O148" s="1">
        <v>1</v>
      </c>
      <c r="P148" s="1">
        <v>1</v>
      </c>
      <c r="Q148" s="1"/>
      <c r="R148" s="74">
        <v>1</v>
      </c>
      <c r="S148" s="10"/>
      <c r="T148" s="10"/>
      <c r="U148" s="10"/>
      <c r="V148" s="10"/>
      <c r="W148" s="10"/>
      <c r="X148" s="69">
        <v>1</v>
      </c>
      <c r="Y148" s="10"/>
      <c r="Z148" s="10"/>
      <c r="AA148" s="10"/>
      <c r="AB148" s="10"/>
      <c r="AC148" s="10"/>
      <c r="AD148" s="10"/>
      <c r="AE148" s="75"/>
      <c r="AF148" s="8"/>
      <c r="AG148" s="2">
        <f t="shared" si="4"/>
        <v>1</v>
      </c>
      <c r="AH148" s="78">
        <f t="shared" si="5"/>
        <v>6</v>
      </c>
    </row>
    <row r="149" spans="1:34" s="9" customFormat="1" x14ac:dyDescent="0.45">
      <c r="A149" s="39" t="s">
        <v>459</v>
      </c>
      <c r="B149" s="13"/>
      <c r="C149" s="39" t="s">
        <v>459</v>
      </c>
      <c r="D149" s="16"/>
      <c r="E149" s="13" t="str">
        <f>IF(ISBLANK(A149),"neu",IF(ISBLANK(C149),"weg",IF(A149&lt;&gt;C149,"geändert","")))</f>
        <v/>
      </c>
      <c r="F149" s="13"/>
      <c r="G149" s="13"/>
      <c r="H149" s="47" t="s">
        <v>15</v>
      </c>
      <c r="I149" s="7"/>
      <c r="J149" s="116">
        <v>1</v>
      </c>
      <c r="K149" s="1"/>
      <c r="L149" s="1">
        <v>1</v>
      </c>
      <c r="M149" s="1"/>
      <c r="N149" s="1">
        <v>1</v>
      </c>
      <c r="O149" s="1">
        <v>1</v>
      </c>
      <c r="P149" s="1">
        <v>1</v>
      </c>
      <c r="Q149" s="1"/>
      <c r="R149" s="74">
        <v>1</v>
      </c>
      <c r="S149" s="10"/>
      <c r="T149" s="10"/>
      <c r="U149" s="10"/>
      <c r="V149" s="10"/>
      <c r="W149" s="10"/>
      <c r="X149" s="69">
        <v>1</v>
      </c>
      <c r="Y149" s="10"/>
      <c r="Z149" s="10"/>
      <c r="AA149" s="10"/>
      <c r="AB149" s="10"/>
      <c r="AC149" s="10"/>
      <c r="AD149" s="10"/>
      <c r="AE149" s="75"/>
      <c r="AF149" s="8"/>
      <c r="AG149" s="2">
        <f t="shared" si="4"/>
        <v>1</v>
      </c>
      <c r="AH149" s="78">
        <f t="shared" si="5"/>
        <v>6</v>
      </c>
    </row>
    <row r="150" spans="1:34" s="9" customFormat="1" x14ac:dyDescent="0.45">
      <c r="A150" s="39" t="s">
        <v>460</v>
      </c>
      <c r="B150" s="13"/>
      <c r="C150" s="39" t="s">
        <v>460</v>
      </c>
      <c r="D150" s="16"/>
      <c r="E150" s="13" t="str">
        <f>IF(ISBLANK(A150),"neu",IF(ISBLANK(C150),"weg",IF(A150&lt;&gt;C150,"geändert","")))</f>
        <v/>
      </c>
      <c r="F150" s="13"/>
      <c r="G150" s="13"/>
      <c r="H150" s="47" t="s">
        <v>15</v>
      </c>
      <c r="I150" s="7"/>
      <c r="J150" s="116">
        <v>1</v>
      </c>
      <c r="K150" s="1"/>
      <c r="L150" s="1">
        <v>1</v>
      </c>
      <c r="M150" s="1"/>
      <c r="N150" s="1">
        <v>1</v>
      </c>
      <c r="O150" s="1">
        <v>1</v>
      </c>
      <c r="P150" s="1">
        <v>1</v>
      </c>
      <c r="Q150" s="1"/>
      <c r="R150" s="74">
        <v>1</v>
      </c>
      <c r="S150" s="10"/>
      <c r="T150" s="10"/>
      <c r="U150" s="10"/>
      <c r="V150" s="10"/>
      <c r="W150" s="69">
        <v>1</v>
      </c>
      <c r="Y150" s="10"/>
      <c r="Z150" s="10"/>
      <c r="AA150" s="10"/>
      <c r="AB150" s="10"/>
      <c r="AC150" s="10"/>
      <c r="AD150" s="10"/>
      <c r="AE150" s="75"/>
      <c r="AF150" s="8"/>
      <c r="AG150" s="2">
        <f t="shared" si="4"/>
        <v>1</v>
      </c>
      <c r="AH150" s="78">
        <f t="shared" si="5"/>
        <v>5</v>
      </c>
    </row>
    <row r="151" spans="1:34" s="9" customFormat="1" x14ac:dyDescent="0.45">
      <c r="A151" s="39" t="s">
        <v>461</v>
      </c>
      <c r="B151" s="13"/>
      <c r="C151" s="39" t="s">
        <v>461</v>
      </c>
      <c r="D151" s="16"/>
      <c r="E151" s="13" t="str">
        <f>IF(ISBLANK(A151),"neu",IF(ISBLANK(C151),"weg",IF(A151&lt;&gt;C151,"geändert","")))</f>
        <v/>
      </c>
      <c r="F151" s="13"/>
      <c r="G151" s="13"/>
      <c r="H151" s="47" t="s">
        <v>15</v>
      </c>
      <c r="I151" s="7"/>
      <c r="J151" s="116">
        <v>1</v>
      </c>
      <c r="K151" s="1"/>
      <c r="L151" s="1">
        <v>1</v>
      </c>
      <c r="M151" s="1"/>
      <c r="N151" s="1">
        <v>1</v>
      </c>
      <c r="O151" s="1">
        <v>1</v>
      </c>
      <c r="P151" s="1">
        <v>1</v>
      </c>
      <c r="Q151" s="1"/>
      <c r="R151" s="74">
        <v>1</v>
      </c>
      <c r="S151" s="10"/>
      <c r="T151" s="10"/>
      <c r="U151" s="10"/>
      <c r="V151" s="10"/>
      <c r="W151" s="10"/>
      <c r="X151" s="69">
        <v>1</v>
      </c>
      <c r="Y151" s="10"/>
      <c r="Z151" s="10"/>
      <c r="AA151" s="10"/>
      <c r="AB151" s="10"/>
      <c r="AC151" s="10"/>
      <c r="AD151" s="10"/>
      <c r="AE151" s="75"/>
      <c r="AF151" s="8"/>
      <c r="AG151" s="2">
        <f t="shared" si="4"/>
        <v>1</v>
      </c>
      <c r="AH151" s="78">
        <f t="shared" si="5"/>
        <v>6</v>
      </c>
    </row>
    <row r="152" spans="1:34" s="9" customFormat="1" x14ac:dyDescent="0.45">
      <c r="A152" s="39" t="s">
        <v>462</v>
      </c>
      <c r="B152" s="13"/>
      <c r="C152" s="39" t="s">
        <v>462</v>
      </c>
      <c r="D152" s="16"/>
      <c r="E152" s="13" t="str">
        <f>IF(ISBLANK(A152),"neu",IF(ISBLANK(C152),"weg",IF(A152&lt;&gt;C152,"geändert","")))</f>
        <v/>
      </c>
      <c r="F152" s="13"/>
      <c r="G152" s="13"/>
      <c r="H152" s="47" t="s">
        <v>15</v>
      </c>
      <c r="I152" s="7"/>
      <c r="J152" s="116">
        <v>1</v>
      </c>
      <c r="K152" s="1"/>
      <c r="L152" s="1">
        <v>1</v>
      </c>
      <c r="M152" s="1"/>
      <c r="N152" s="1">
        <v>1</v>
      </c>
      <c r="O152" s="1">
        <v>1</v>
      </c>
      <c r="P152" s="1">
        <v>1</v>
      </c>
      <c r="Q152" s="1"/>
      <c r="R152" s="74">
        <v>1</v>
      </c>
      <c r="S152" s="10"/>
      <c r="T152" s="10"/>
      <c r="U152" s="10"/>
      <c r="V152" s="10"/>
      <c r="W152" s="10"/>
      <c r="X152" s="69">
        <v>1</v>
      </c>
      <c r="Y152" s="10"/>
      <c r="Z152" s="10"/>
      <c r="AA152" s="10"/>
      <c r="AB152" s="10"/>
      <c r="AC152" s="10"/>
      <c r="AD152" s="10"/>
      <c r="AE152" s="75"/>
      <c r="AF152" s="8"/>
      <c r="AG152" s="2">
        <f t="shared" si="4"/>
        <v>1</v>
      </c>
      <c r="AH152" s="78">
        <f t="shared" si="5"/>
        <v>6</v>
      </c>
    </row>
    <row r="153" spans="1:34" s="9" customFormat="1" x14ac:dyDescent="0.45">
      <c r="A153" s="16" t="s">
        <v>261</v>
      </c>
      <c r="B153" s="13"/>
      <c r="C153" s="16" t="s">
        <v>261</v>
      </c>
      <c r="D153" s="16"/>
      <c r="E153" s="13" t="str">
        <f>IF(ISBLANK(A153),"neu",IF(ISBLANK(C153),"weg",IF(A153&lt;&gt;C153,"geändert","")))</f>
        <v/>
      </c>
      <c r="F153" s="13"/>
      <c r="G153" s="13"/>
      <c r="H153" s="13" t="s">
        <v>14</v>
      </c>
      <c r="I153" s="7"/>
      <c r="J153" s="1">
        <v>1</v>
      </c>
      <c r="K153" s="1"/>
      <c r="L153" s="1">
        <v>1</v>
      </c>
      <c r="M153" s="1"/>
      <c r="N153" s="1">
        <v>1</v>
      </c>
      <c r="O153" s="1">
        <v>1</v>
      </c>
      <c r="P153" s="1">
        <v>1</v>
      </c>
      <c r="Q153" s="1"/>
      <c r="R153" s="74">
        <v>1</v>
      </c>
      <c r="S153" s="10"/>
      <c r="T153" s="10"/>
      <c r="U153" s="10"/>
      <c r="V153" s="10"/>
      <c r="W153" s="10"/>
      <c r="X153" s="69">
        <v>1</v>
      </c>
      <c r="Y153" s="10"/>
      <c r="Z153" s="10"/>
      <c r="AA153" s="10"/>
      <c r="AB153" s="10"/>
      <c r="AC153" s="10"/>
      <c r="AD153" s="10"/>
      <c r="AE153" s="75"/>
      <c r="AF153" s="8"/>
      <c r="AG153" s="2">
        <f t="shared" si="4"/>
        <v>1</v>
      </c>
      <c r="AH153" s="78">
        <f t="shared" si="5"/>
        <v>6</v>
      </c>
    </row>
    <row r="154" spans="1:34" s="9" customFormat="1" x14ac:dyDescent="0.45">
      <c r="A154" s="16" t="s">
        <v>262</v>
      </c>
      <c r="B154" s="13"/>
      <c r="C154" s="16" t="s">
        <v>262</v>
      </c>
      <c r="D154" s="16"/>
      <c r="E154" s="13" t="str">
        <f>IF(ISBLANK(A154),"neu",IF(ISBLANK(C154),"weg",IF(A154&lt;&gt;C154,"geändert","")))</f>
        <v/>
      </c>
      <c r="F154" s="13"/>
      <c r="G154" s="13"/>
      <c r="H154" s="13" t="s">
        <v>14</v>
      </c>
      <c r="I154" s="7"/>
      <c r="J154" s="1">
        <v>1</v>
      </c>
      <c r="K154" s="1"/>
      <c r="L154" s="1">
        <v>1</v>
      </c>
      <c r="M154" s="1"/>
      <c r="N154" s="1">
        <v>1</v>
      </c>
      <c r="O154" s="1">
        <v>1</v>
      </c>
      <c r="P154" s="1">
        <v>1</v>
      </c>
      <c r="Q154" s="1"/>
      <c r="R154" s="74">
        <v>1</v>
      </c>
      <c r="S154" s="10"/>
      <c r="T154" s="10"/>
      <c r="U154" s="10"/>
      <c r="V154" s="10"/>
      <c r="W154" s="10"/>
      <c r="X154" s="69">
        <v>1</v>
      </c>
      <c r="Y154" s="10"/>
      <c r="Z154" s="10"/>
      <c r="AA154" s="10"/>
      <c r="AB154" s="10"/>
      <c r="AC154" s="10"/>
      <c r="AD154" s="10"/>
      <c r="AE154" s="75"/>
      <c r="AF154" s="8"/>
      <c r="AG154" s="2">
        <f t="shared" si="4"/>
        <v>1</v>
      </c>
      <c r="AH154" s="78">
        <f t="shared" si="5"/>
        <v>6</v>
      </c>
    </row>
    <row r="155" spans="1:34" s="9" customFormat="1" x14ac:dyDescent="0.45">
      <c r="A155" s="16" t="s">
        <v>263</v>
      </c>
      <c r="B155" s="13"/>
      <c r="C155" s="16" t="s">
        <v>263</v>
      </c>
      <c r="D155" s="16"/>
      <c r="E155" s="13" t="str">
        <f>IF(ISBLANK(A155),"neu",IF(ISBLANK(C155),"weg",IF(A155&lt;&gt;C155,"geändert","")))</f>
        <v/>
      </c>
      <c r="F155" s="13"/>
      <c r="G155" s="13"/>
      <c r="H155" s="13" t="s">
        <v>14</v>
      </c>
      <c r="I155" s="7"/>
      <c r="J155" s="1">
        <v>1</v>
      </c>
      <c r="K155" s="1"/>
      <c r="L155" s="1">
        <v>1</v>
      </c>
      <c r="M155" s="1"/>
      <c r="N155" s="1">
        <v>1</v>
      </c>
      <c r="O155" s="1">
        <v>1</v>
      </c>
      <c r="P155" s="1">
        <v>1</v>
      </c>
      <c r="Q155" s="1"/>
      <c r="R155" s="74">
        <v>1</v>
      </c>
      <c r="S155" s="10"/>
      <c r="T155" s="10"/>
      <c r="U155" s="10"/>
      <c r="V155" s="10"/>
      <c r="W155" s="10"/>
      <c r="X155" s="69">
        <v>1</v>
      </c>
      <c r="Y155" s="10"/>
      <c r="Z155" s="10"/>
      <c r="AA155" s="10"/>
      <c r="AB155" s="10"/>
      <c r="AC155" s="10"/>
      <c r="AD155" s="10"/>
      <c r="AE155" s="75"/>
      <c r="AF155" s="8"/>
      <c r="AG155" s="2">
        <f t="shared" si="4"/>
        <v>1</v>
      </c>
      <c r="AH155" s="78">
        <f t="shared" si="5"/>
        <v>6</v>
      </c>
    </row>
    <row r="156" spans="1:34" s="9" customFormat="1" x14ac:dyDescent="0.45">
      <c r="A156" s="16" t="s">
        <v>264</v>
      </c>
      <c r="B156" s="13"/>
      <c r="C156" s="16" t="s">
        <v>264</v>
      </c>
      <c r="D156" s="16"/>
      <c r="E156" s="13" t="str">
        <f>IF(ISBLANK(A156),"neu",IF(ISBLANK(C156),"weg",IF(A156&lt;&gt;C156,"geändert","")))</f>
        <v/>
      </c>
      <c r="F156" s="13"/>
      <c r="G156" s="13"/>
      <c r="H156" s="13" t="s">
        <v>14</v>
      </c>
      <c r="I156" s="7"/>
      <c r="J156" s="1">
        <v>1</v>
      </c>
      <c r="K156" s="1"/>
      <c r="L156" s="1">
        <v>1</v>
      </c>
      <c r="M156" s="1"/>
      <c r="N156" s="1">
        <v>1</v>
      </c>
      <c r="O156" s="1">
        <v>1</v>
      </c>
      <c r="P156" s="1">
        <v>1</v>
      </c>
      <c r="Q156" s="1"/>
      <c r="R156" s="74">
        <v>1</v>
      </c>
      <c r="S156" s="10"/>
      <c r="T156" s="69">
        <v>1</v>
      </c>
      <c r="U156" s="10"/>
      <c r="V156" s="10"/>
      <c r="W156" s="10"/>
      <c r="Y156" s="10"/>
      <c r="Z156" s="10"/>
      <c r="AA156" s="10"/>
      <c r="AB156" s="10"/>
      <c r="AC156" s="10"/>
      <c r="AD156" s="10"/>
      <c r="AE156" s="75"/>
      <c r="AF156" s="8"/>
      <c r="AG156" s="2">
        <f t="shared" si="4"/>
        <v>1</v>
      </c>
      <c r="AH156" s="78">
        <f t="shared" si="5"/>
        <v>2</v>
      </c>
    </row>
    <row r="157" spans="1:34" s="9" customFormat="1" x14ac:dyDescent="0.45">
      <c r="A157" s="16" t="s">
        <v>265</v>
      </c>
      <c r="B157" s="13"/>
      <c r="C157" s="16" t="s">
        <v>265</v>
      </c>
      <c r="D157" s="16"/>
      <c r="E157" s="13" t="str">
        <f>IF(ISBLANK(A157),"neu",IF(ISBLANK(C157),"weg",IF(A157&lt;&gt;C157,"geändert","")))</f>
        <v/>
      </c>
      <c r="F157" s="13"/>
      <c r="G157" s="13"/>
      <c r="H157" s="13" t="s">
        <v>13</v>
      </c>
      <c r="I157" s="7"/>
      <c r="J157" s="1">
        <v>1</v>
      </c>
      <c r="K157" s="1"/>
      <c r="L157" s="1">
        <v>1</v>
      </c>
      <c r="M157" s="1"/>
      <c r="N157" s="1">
        <v>1</v>
      </c>
      <c r="O157" s="1">
        <v>1</v>
      </c>
      <c r="P157" s="1">
        <v>1</v>
      </c>
      <c r="Q157" s="1"/>
      <c r="R157" s="74">
        <v>1</v>
      </c>
      <c r="S157" s="10"/>
      <c r="T157" s="10"/>
      <c r="U157" s="69">
        <v>1</v>
      </c>
      <c r="V157" s="10"/>
      <c r="W157" s="10"/>
      <c r="Y157" s="10"/>
      <c r="Z157" s="10"/>
      <c r="AA157" s="10"/>
      <c r="AB157" s="10"/>
      <c r="AC157" s="10"/>
      <c r="AD157" s="10"/>
      <c r="AE157" s="75"/>
      <c r="AF157" s="8"/>
      <c r="AG157" s="2">
        <f t="shared" si="4"/>
        <v>1</v>
      </c>
      <c r="AH157" s="78">
        <f t="shared" si="5"/>
        <v>3</v>
      </c>
    </row>
    <row r="158" spans="1:34" s="9" customFormat="1" x14ac:dyDescent="0.45">
      <c r="A158" s="16" t="s">
        <v>266</v>
      </c>
      <c r="B158" s="13"/>
      <c r="C158" s="16" t="s">
        <v>266</v>
      </c>
      <c r="D158" s="16"/>
      <c r="E158" s="13" t="str">
        <f>IF(ISBLANK(A158),"neu",IF(ISBLANK(C158),"weg",IF(A158&lt;&gt;C158,"geändert","")))</f>
        <v/>
      </c>
      <c r="F158" s="13"/>
      <c r="G158" s="13"/>
      <c r="H158" s="13" t="s">
        <v>13</v>
      </c>
      <c r="I158" s="7"/>
      <c r="J158" s="1">
        <v>1</v>
      </c>
      <c r="K158" s="1"/>
      <c r="L158" s="1">
        <v>1</v>
      </c>
      <c r="M158" s="1"/>
      <c r="N158" s="1">
        <v>1</v>
      </c>
      <c r="O158" s="1">
        <v>1</v>
      </c>
      <c r="P158" s="1">
        <v>1</v>
      </c>
      <c r="Q158" s="1"/>
      <c r="R158" s="74">
        <v>1</v>
      </c>
      <c r="S158" s="10"/>
      <c r="T158" s="10"/>
      <c r="U158" s="69">
        <v>1</v>
      </c>
      <c r="V158" s="10"/>
      <c r="W158" s="10"/>
      <c r="Y158" s="10"/>
      <c r="Z158" s="10"/>
      <c r="AA158" s="10"/>
      <c r="AB158" s="10"/>
      <c r="AC158" s="10"/>
      <c r="AD158" s="10"/>
      <c r="AE158" s="75"/>
      <c r="AF158" s="8"/>
      <c r="AG158" s="2">
        <f t="shared" si="4"/>
        <v>1</v>
      </c>
      <c r="AH158" s="78">
        <f t="shared" si="5"/>
        <v>3</v>
      </c>
    </row>
    <row r="159" spans="1:34" s="9" customFormat="1" x14ac:dyDescent="0.45">
      <c r="A159" s="39" t="s">
        <v>463</v>
      </c>
      <c r="B159" s="47"/>
      <c r="C159" s="39" t="s">
        <v>463</v>
      </c>
      <c r="D159" s="46"/>
      <c r="E159" s="13" t="str">
        <f>IF(ISBLANK(A159),"neu",IF(ISBLANK(C159),"weg",IF(A159&lt;&gt;C159,"geändert","")))</f>
        <v/>
      </c>
      <c r="F159" s="47"/>
      <c r="G159" s="47"/>
      <c r="H159" s="47" t="s">
        <v>15</v>
      </c>
      <c r="I159" s="7"/>
      <c r="J159" s="116">
        <v>1</v>
      </c>
      <c r="K159" s="1"/>
      <c r="L159" s="1">
        <v>1</v>
      </c>
      <c r="M159" s="1"/>
      <c r="N159" s="1">
        <v>1</v>
      </c>
      <c r="O159" s="1">
        <v>1</v>
      </c>
      <c r="P159" s="1">
        <v>1</v>
      </c>
      <c r="Q159" s="1"/>
      <c r="R159" s="74">
        <v>1</v>
      </c>
      <c r="S159" s="10"/>
      <c r="T159" s="10"/>
      <c r="U159" s="69">
        <v>1</v>
      </c>
      <c r="V159" s="10"/>
      <c r="W159" s="10"/>
      <c r="Y159" s="10"/>
      <c r="Z159" s="10"/>
      <c r="AA159" s="10"/>
      <c r="AB159" s="10"/>
      <c r="AC159" s="10"/>
      <c r="AD159" s="10"/>
      <c r="AE159" s="75"/>
      <c r="AF159" s="8"/>
      <c r="AG159" s="2">
        <f t="shared" si="4"/>
        <v>1</v>
      </c>
      <c r="AH159" s="78">
        <f t="shared" si="5"/>
        <v>3</v>
      </c>
    </row>
    <row r="160" spans="1:34" s="9" customFormat="1" x14ac:dyDescent="0.45">
      <c r="A160" s="16" t="s">
        <v>267</v>
      </c>
      <c r="B160" s="13"/>
      <c r="C160" s="16" t="s">
        <v>267</v>
      </c>
      <c r="D160" s="16"/>
      <c r="E160" s="13" t="str">
        <f>IF(ISBLANK(A160),"neu",IF(ISBLANK(C160),"weg",IF(A160&lt;&gt;C160,"geändert","")))</f>
        <v/>
      </c>
      <c r="F160" s="13"/>
      <c r="G160" s="13"/>
      <c r="H160" s="13" t="s">
        <v>13</v>
      </c>
      <c r="I160" s="7"/>
      <c r="J160" s="1">
        <v>1</v>
      </c>
      <c r="K160" s="1"/>
      <c r="L160" s="1">
        <v>1</v>
      </c>
      <c r="M160" s="1"/>
      <c r="N160" s="1">
        <v>1</v>
      </c>
      <c r="O160" s="1">
        <v>1</v>
      </c>
      <c r="P160" s="1">
        <v>1</v>
      </c>
      <c r="Q160" s="1"/>
      <c r="R160" s="74">
        <v>1</v>
      </c>
      <c r="S160" s="10"/>
      <c r="T160" s="10"/>
      <c r="U160" s="69">
        <v>1</v>
      </c>
      <c r="V160" s="10"/>
      <c r="W160" s="10"/>
      <c r="Y160" s="10"/>
      <c r="Z160" s="10"/>
      <c r="AA160" s="10"/>
      <c r="AB160" s="10"/>
      <c r="AC160" s="10"/>
      <c r="AD160" s="10"/>
      <c r="AE160" s="75"/>
      <c r="AF160" s="8"/>
      <c r="AG160" s="2">
        <f t="shared" si="4"/>
        <v>1</v>
      </c>
      <c r="AH160" s="78">
        <f t="shared" si="5"/>
        <v>3</v>
      </c>
    </row>
    <row r="161" spans="1:34" s="9" customFormat="1" x14ac:dyDescent="0.45">
      <c r="A161" s="16" t="s">
        <v>268</v>
      </c>
      <c r="B161" s="13"/>
      <c r="C161" s="16" t="s">
        <v>268</v>
      </c>
      <c r="D161" s="16"/>
      <c r="E161" s="13" t="str">
        <f>IF(ISBLANK(A161),"neu",IF(ISBLANK(C161),"weg",IF(A161&lt;&gt;C161,"geändert","")))</f>
        <v/>
      </c>
      <c r="F161" s="13"/>
      <c r="G161" s="13"/>
      <c r="H161" s="13" t="s">
        <v>13</v>
      </c>
      <c r="I161" s="7"/>
      <c r="J161" s="1">
        <v>1</v>
      </c>
      <c r="K161" s="1"/>
      <c r="L161" s="1">
        <v>1</v>
      </c>
      <c r="M161" s="1"/>
      <c r="N161" s="1">
        <v>1</v>
      </c>
      <c r="O161" s="1">
        <v>1</v>
      </c>
      <c r="P161" s="1">
        <v>1</v>
      </c>
      <c r="Q161" s="1"/>
      <c r="R161" s="74">
        <v>1</v>
      </c>
      <c r="S161" s="10"/>
      <c r="T161" s="10"/>
      <c r="U161" s="10"/>
      <c r="V161" s="10"/>
      <c r="W161" s="10"/>
      <c r="Y161" s="69">
        <v>1</v>
      </c>
      <c r="Z161" s="10"/>
      <c r="AA161" s="10"/>
      <c r="AB161" s="10"/>
      <c r="AC161" s="10"/>
      <c r="AD161" s="10"/>
      <c r="AE161" s="75"/>
      <c r="AF161" s="8"/>
      <c r="AG161" s="2">
        <f t="shared" si="4"/>
        <v>1</v>
      </c>
      <c r="AH161" s="78">
        <f t="shared" si="5"/>
        <v>7</v>
      </c>
    </row>
    <row r="162" spans="1:34" s="9" customFormat="1" x14ac:dyDescent="0.45">
      <c r="A162" s="16" t="s">
        <v>269</v>
      </c>
      <c r="B162" s="13"/>
      <c r="C162" s="16" t="s">
        <v>269</v>
      </c>
      <c r="D162" s="16"/>
      <c r="E162" s="13" t="str">
        <f>IF(ISBLANK(A162),"neu",IF(ISBLANK(C162),"weg",IF(A162&lt;&gt;C162,"geändert","")))</f>
        <v/>
      </c>
      <c r="F162" s="13"/>
      <c r="G162" s="13"/>
      <c r="H162" s="13" t="s">
        <v>13</v>
      </c>
      <c r="I162" s="7"/>
      <c r="J162" s="1">
        <v>1</v>
      </c>
      <c r="K162" s="1"/>
      <c r="L162" s="1">
        <v>1</v>
      </c>
      <c r="M162" s="1"/>
      <c r="N162" s="1">
        <v>1</v>
      </c>
      <c r="O162" s="1">
        <v>1</v>
      </c>
      <c r="P162" s="1">
        <v>1</v>
      </c>
      <c r="Q162" s="1"/>
      <c r="R162" s="74">
        <v>1</v>
      </c>
      <c r="S162" s="10"/>
      <c r="T162" s="10"/>
      <c r="U162" s="10"/>
      <c r="V162" s="10"/>
      <c r="W162" s="10"/>
      <c r="Y162" s="69">
        <v>1</v>
      </c>
      <c r="Z162" s="10"/>
      <c r="AA162" s="10"/>
      <c r="AB162" s="10"/>
      <c r="AC162" s="10"/>
      <c r="AD162" s="10"/>
      <c r="AE162" s="75"/>
      <c r="AF162" s="8"/>
      <c r="AG162" s="2">
        <f t="shared" si="4"/>
        <v>1</v>
      </c>
      <c r="AH162" s="78">
        <f t="shared" si="5"/>
        <v>7</v>
      </c>
    </row>
    <row r="163" spans="1:34" s="9" customFormat="1" x14ac:dyDescent="0.45">
      <c r="A163" s="39" t="s">
        <v>464</v>
      </c>
      <c r="B163" s="47"/>
      <c r="C163" s="39" t="s">
        <v>464</v>
      </c>
      <c r="D163" s="46"/>
      <c r="E163" s="13" t="str">
        <f>IF(ISBLANK(A163),"neu",IF(ISBLANK(C163),"weg",IF(A163&lt;&gt;C163,"geändert","")))</f>
        <v/>
      </c>
      <c r="F163" s="47"/>
      <c r="G163" s="47"/>
      <c r="H163" s="47" t="s">
        <v>15</v>
      </c>
      <c r="I163" s="7"/>
      <c r="J163" s="116">
        <v>1</v>
      </c>
      <c r="K163" s="1"/>
      <c r="L163" s="1">
        <v>1</v>
      </c>
      <c r="M163" s="1"/>
      <c r="N163" s="1">
        <v>1</v>
      </c>
      <c r="O163" s="1">
        <v>1</v>
      </c>
      <c r="P163" s="1">
        <v>1</v>
      </c>
      <c r="Q163" s="1"/>
      <c r="R163" s="74">
        <v>1</v>
      </c>
      <c r="S163" s="10"/>
      <c r="T163" s="10"/>
      <c r="U163" s="10"/>
      <c r="V163" s="10"/>
      <c r="W163" s="10"/>
      <c r="Y163" s="69">
        <v>1</v>
      </c>
      <c r="Z163" s="10"/>
      <c r="AA163" s="10"/>
      <c r="AB163" s="10"/>
      <c r="AC163" s="10"/>
      <c r="AD163" s="10"/>
      <c r="AE163" s="75"/>
      <c r="AF163" s="8"/>
      <c r="AG163" s="2">
        <f t="shared" si="4"/>
        <v>1</v>
      </c>
      <c r="AH163" s="78">
        <f t="shared" si="5"/>
        <v>7</v>
      </c>
    </row>
    <row r="164" spans="1:34" s="9" customFormat="1" x14ac:dyDescent="0.45">
      <c r="A164" s="40" t="s">
        <v>465</v>
      </c>
      <c r="B164" s="47"/>
      <c r="C164" s="40" t="s">
        <v>465</v>
      </c>
      <c r="D164" s="46"/>
      <c r="E164" s="13" t="str">
        <f>IF(ISBLANK(A164),"neu",IF(ISBLANK(C164),"weg",IF(A164&lt;&gt;C164,"geändert","")))</f>
        <v/>
      </c>
      <c r="F164" s="47"/>
      <c r="G164" s="47"/>
      <c r="H164" s="47" t="s">
        <v>15</v>
      </c>
      <c r="I164" s="7"/>
      <c r="J164" s="116">
        <v>1</v>
      </c>
      <c r="K164" s="1"/>
      <c r="L164" s="1">
        <v>1</v>
      </c>
      <c r="M164" s="1"/>
      <c r="N164" s="1">
        <v>1</v>
      </c>
      <c r="O164" s="1">
        <v>1</v>
      </c>
      <c r="P164" s="1">
        <v>1</v>
      </c>
      <c r="Q164" s="1"/>
      <c r="R164" s="74">
        <v>1</v>
      </c>
      <c r="S164" s="10"/>
      <c r="T164" s="10"/>
      <c r="U164" s="10"/>
      <c r="V164" s="10"/>
      <c r="W164" s="10"/>
      <c r="Y164" s="69">
        <v>1</v>
      </c>
      <c r="Z164" s="10"/>
      <c r="AA164" s="10"/>
      <c r="AB164" s="10"/>
      <c r="AC164" s="10"/>
      <c r="AD164" s="10"/>
      <c r="AE164" s="75"/>
      <c r="AF164" s="8"/>
      <c r="AG164" s="2">
        <f t="shared" si="4"/>
        <v>1</v>
      </c>
      <c r="AH164" s="78">
        <f t="shared" si="5"/>
        <v>7</v>
      </c>
    </row>
    <row r="165" spans="1:34" s="9" customFormat="1" x14ac:dyDescent="0.45">
      <c r="A165" s="39" t="s">
        <v>466</v>
      </c>
      <c r="B165" s="47"/>
      <c r="C165" s="39" t="s">
        <v>466</v>
      </c>
      <c r="D165" s="46"/>
      <c r="E165" s="13" t="str">
        <f>IF(ISBLANK(A165),"neu",IF(ISBLANK(C165),"weg",IF(A165&lt;&gt;C165,"geändert","")))</f>
        <v/>
      </c>
      <c r="F165" s="47"/>
      <c r="G165" s="47"/>
      <c r="H165" s="47" t="s">
        <v>15</v>
      </c>
      <c r="I165" s="7"/>
      <c r="J165" s="116">
        <v>1</v>
      </c>
      <c r="K165" s="1"/>
      <c r="L165" s="1">
        <v>1</v>
      </c>
      <c r="M165" s="1"/>
      <c r="N165" s="1">
        <v>1</v>
      </c>
      <c r="O165" s="1">
        <v>1</v>
      </c>
      <c r="P165" s="1">
        <v>1</v>
      </c>
      <c r="Q165" s="1"/>
      <c r="R165" s="74">
        <v>1</v>
      </c>
      <c r="S165" s="10"/>
      <c r="T165" s="10"/>
      <c r="U165" s="10"/>
      <c r="V165" s="10"/>
      <c r="W165" s="10"/>
      <c r="Y165" s="10"/>
      <c r="Z165" s="69">
        <v>1</v>
      </c>
      <c r="AA165" s="10"/>
      <c r="AB165" s="10"/>
      <c r="AC165" s="10"/>
      <c r="AD165" s="10"/>
      <c r="AE165" s="75"/>
      <c r="AF165" s="8"/>
      <c r="AG165" s="2">
        <f t="shared" si="4"/>
        <v>1</v>
      </c>
      <c r="AH165" s="78">
        <f t="shared" si="5"/>
        <v>8</v>
      </c>
    </row>
    <row r="166" spans="1:34" s="9" customFormat="1" x14ac:dyDescent="0.45">
      <c r="A166" s="39" t="s">
        <v>467</v>
      </c>
      <c r="B166" s="47"/>
      <c r="C166" s="39" t="s">
        <v>467</v>
      </c>
      <c r="D166" s="46"/>
      <c r="E166" s="13" t="str">
        <f>IF(ISBLANK(A166),"neu",IF(ISBLANK(C166),"weg",IF(A166&lt;&gt;C166,"geändert","")))</f>
        <v/>
      </c>
      <c r="F166" s="47"/>
      <c r="G166" s="47"/>
      <c r="H166" s="47" t="s">
        <v>15</v>
      </c>
      <c r="I166" s="7"/>
      <c r="J166" s="116">
        <v>1</v>
      </c>
      <c r="K166" s="1"/>
      <c r="L166" s="1">
        <v>1</v>
      </c>
      <c r="M166" s="1"/>
      <c r="N166" s="1">
        <v>1</v>
      </c>
      <c r="O166" s="1">
        <v>1</v>
      </c>
      <c r="P166" s="1">
        <v>1</v>
      </c>
      <c r="Q166" s="1"/>
      <c r="R166" s="74">
        <v>1</v>
      </c>
      <c r="S166" s="10"/>
      <c r="T166" s="10"/>
      <c r="U166" s="10"/>
      <c r="V166" s="10"/>
      <c r="W166" s="10"/>
      <c r="Y166" s="69">
        <v>1</v>
      </c>
      <c r="Z166" s="10"/>
      <c r="AA166" s="10"/>
      <c r="AB166" s="10"/>
      <c r="AC166" s="10"/>
      <c r="AD166" s="10"/>
      <c r="AE166" s="75"/>
      <c r="AF166" s="8"/>
      <c r="AG166" s="2">
        <f t="shared" si="4"/>
        <v>1</v>
      </c>
      <c r="AH166" s="78">
        <f t="shared" si="5"/>
        <v>7</v>
      </c>
    </row>
    <row r="167" spans="1:34" s="9" customFormat="1" x14ac:dyDescent="0.45">
      <c r="A167" s="16" t="s">
        <v>270</v>
      </c>
      <c r="B167" s="13"/>
      <c r="C167" s="16" t="s">
        <v>270</v>
      </c>
      <c r="D167" s="16"/>
      <c r="E167" s="13" t="str">
        <f>IF(ISBLANK(A167),"neu",IF(ISBLANK(C167),"weg",IF(A167&lt;&gt;C167,"geändert","")))</f>
        <v/>
      </c>
      <c r="F167" s="13"/>
      <c r="G167" s="13"/>
      <c r="H167" s="13" t="s">
        <v>13</v>
      </c>
      <c r="I167" s="7"/>
      <c r="J167" s="1">
        <v>1</v>
      </c>
      <c r="K167" s="1"/>
      <c r="L167" s="1">
        <v>1</v>
      </c>
      <c r="M167" s="1"/>
      <c r="N167" s="1">
        <v>1</v>
      </c>
      <c r="O167" s="1">
        <v>1</v>
      </c>
      <c r="P167" s="1">
        <v>1</v>
      </c>
      <c r="Q167" s="1"/>
      <c r="R167" s="74">
        <v>1</v>
      </c>
      <c r="S167" s="10"/>
      <c r="T167" s="10"/>
      <c r="U167" s="10"/>
      <c r="V167" s="10"/>
      <c r="W167" s="10"/>
      <c r="Y167" s="69">
        <v>1</v>
      </c>
      <c r="Z167" s="10"/>
      <c r="AA167" s="10"/>
      <c r="AB167" s="10"/>
      <c r="AC167" s="10"/>
      <c r="AD167" s="10"/>
      <c r="AE167" s="75"/>
      <c r="AF167" s="8"/>
      <c r="AG167" s="2">
        <f t="shared" si="4"/>
        <v>1</v>
      </c>
      <c r="AH167" s="78">
        <f t="shared" si="5"/>
        <v>7</v>
      </c>
    </row>
    <row r="168" spans="1:34" s="9" customFormat="1" x14ac:dyDescent="0.45">
      <c r="A168" s="39" t="s">
        <v>468</v>
      </c>
      <c r="B168" s="47"/>
      <c r="C168" s="39" t="s">
        <v>468</v>
      </c>
      <c r="D168" s="46"/>
      <c r="E168" s="13" t="str">
        <f>IF(ISBLANK(A168),"neu",IF(ISBLANK(C168),"weg",IF(A168&lt;&gt;C168,"geändert","")))</f>
        <v/>
      </c>
      <c r="F168" s="47"/>
      <c r="G168" s="47"/>
      <c r="H168" s="47" t="s">
        <v>15</v>
      </c>
      <c r="I168" s="7"/>
      <c r="J168" s="116">
        <v>1</v>
      </c>
      <c r="K168" s="1"/>
      <c r="L168" s="1">
        <v>1</v>
      </c>
      <c r="M168" s="1"/>
      <c r="N168" s="1">
        <v>1</v>
      </c>
      <c r="O168" s="1">
        <v>1</v>
      </c>
      <c r="P168" s="1">
        <v>1</v>
      </c>
      <c r="Q168" s="1"/>
      <c r="R168" s="74">
        <v>1</v>
      </c>
      <c r="S168" s="10"/>
      <c r="T168" s="10"/>
      <c r="U168" s="10"/>
      <c r="V168" s="10"/>
      <c r="W168" s="10"/>
      <c r="Y168" s="69">
        <v>1</v>
      </c>
      <c r="Z168" s="10"/>
      <c r="AA168" s="10"/>
      <c r="AB168" s="10"/>
      <c r="AC168" s="10"/>
      <c r="AD168" s="10"/>
      <c r="AE168" s="75"/>
      <c r="AF168" s="8"/>
      <c r="AG168" s="2">
        <f t="shared" si="4"/>
        <v>1</v>
      </c>
      <c r="AH168" s="78">
        <f t="shared" si="5"/>
        <v>7</v>
      </c>
    </row>
    <row r="169" spans="1:34" s="9" customFormat="1" x14ac:dyDescent="0.45">
      <c r="A169" s="39" t="s">
        <v>469</v>
      </c>
      <c r="B169" s="47"/>
      <c r="C169" s="39" t="s">
        <v>469</v>
      </c>
      <c r="D169" s="46"/>
      <c r="E169" s="13" t="str">
        <f>IF(ISBLANK(A169),"neu",IF(ISBLANK(C169),"weg",IF(A169&lt;&gt;C169,"geändert","")))</f>
        <v/>
      </c>
      <c r="F169" s="47"/>
      <c r="G169" s="47"/>
      <c r="H169" s="47" t="s">
        <v>15</v>
      </c>
      <c r="I169" s="7"/>
      <c r="J169" s="116">
        <v>1</v>
      </c>
      <c r="K169" s="1"/>
      <c r="L169" s="1">
        <v>1</v>
      </c>
      <c r="M169" s="1"/>
      <c r="N169" s="1">
        <v>1</v>
      </c>
      <c r="O169" s="1">
        <v>1</v>
      </c>
      <c r="P169" s="1">
        <v>1</v>
      </c>
      <c r="Q169" s="1"/>
      <c r="R169" s="74">
        <v>1</v>
      </c>
      <c r="S169" s="10"/>
      <c r="T169" s="10"/>
      <c r="U169" s="10"/>
      <c r="V169" s="10"/>
      <c r="W169" s="10"/>
      <c r="Y169" s="69">
        <v>1</v>
      </c>
      <c r="Z169" s="10"/>
      <c r="AA169" s="10"/>
      <c r="AB169" s="10"/>
      <c r="AC169" s="10"/>
      <c r="AD169" s="10"/>
      <c r="AE169" s="75"/>
      <c r="AF169" s="8"/>
      <c r="AG169" s="2">
        <f t="shared" si="4"/>
        <v>1</v>
      </c>
      <c r="AH169" s="78">
        <f t="shared" si="5"/>
        <v>7</v>
      </c>
    </row>
    <row r="170" spans="1:34" s="9" customFormat="1" x14ac:dyDescent="0.45">
      <c r="A170" s="16" t="s">
        <v>271</v>
      </c>
      <c r="B170" s="13"/>
      <c r="C170" s="16" t="s">
        <v>271</v>
      </c>
      <c r="D170" s="16"/>
      <c r="E170" s="13" t="str">
        <f>IF(ISBLANK(A170),"neu",IF(ISBLANK(C170),"weg",IF(A170&lt;&gt;C170,"geändert","")))</f>
        <v/>
      </c>
      <c r="F170" s="13"/>
      <c r="G170" s="13"/>
      <c r="H170" s="13" t="s">
        <v>13</v>
      </c>
      <c r="I170" s="7"/>
      <c r="J170" s="1">
        <v>1</v>
      </c>
      <c r="K170" s="1"/>
      <c r="L170" s="1">
        <v>1</v>
      </c>
      <c r="M170" s="1"/>
      <c r="N170" s="1">
        <v>1</v>
      </c>
      <c r="O170" s="1">
        <v>1</v>
      </c>
      <c r="P170" s="1">
        <v>1</v>
      </c>
      <c r="Q170" s="1"/>
      <c r="R170" s="74">
        <v>1</v>
      </c>
      <c r="S170" s="10"/>
      <c r="T170" s="10"/>
      <c r="U170" s="69">
        <v>1</v>
      </c>
      <c r="V170" s="10"/>
      <c r="W170" s="10"/>
      <c r="Y170" s="10"/>
      <c r="Z170" s="10"/>
      <c r="AA170" s="10"/>
      <c r="AB170" s="10"/>
      <c r="AC170" s="10"/>
      <c r="AD170" s="10"/>
      <c r="AE170" s="75"/>
      <c r="AF170" s="8"/>
      <c r="AG170" s="2">
        <f t="shared" si="4"/>
        <v>1</v>
      </c>
      <c r="AH170" s="78">
        <f t="shared" si="5"/>
        <v>3</v>
      </c>
    </row>
    <row r="171" spans="1:34" s="9" customFormat="1" x14ac:dyDescent="0.45">
      <c r="A171" s="16" t="s">
        <v>272</v>
      </c>
      <c r="B171" s="13"/>
      <c r="C171" s="16" t="s">
        <v>272</v>
      </c>
      <c r="D171" s="16"/>
      <c r="E171" s="13" t="str">
        <f>IF(ISBLANK(A171),"neu",IF(ISBLANK(C171),"weg",IF(A171&lt;&gt;C171,"geändert","")))</f>
        <v/>
      </c>
      <c r="F171" s="13"/>
      <c r="G171" s="13"/>
      <c r="H171" s="13" t="s">
        <v>13</v>
      </c>
      <c r="I171" s="7"/>
      <c r="J171" s="1">
        <v>1</v>
      </c>
      <c r="K171" s="1"/>
      <c r="L171" s="1">
        <v>1</v>
      </c>
      <c r="M171" s="1"/>
      <c r="N171" s="1">
        <v>1</v>
      </c>
      <c r="O171" s="1">
        <v>1</v>
      </c>
      <c r="P171" s="1">
        <v>1</v>
      </c>
      <c r="Q171" s="1"/>
      <c r="R171" s="74">
        <v>1</v>
      </c>
      <c r="S171" s="10"/>
      <c r="T171" s="69">
        <v>1</v>
      </c>
      <c r="U171" s="10"/>
      <c r="V171" s="10"/>
      <c r="W171" s="10"/>
      <c r="Y171" s="10"/>
      <c r="Z171" s="10"/>
      <c r="AA171" s="10"/>
      <c r="AB171" s="10"/>
      <c r="AC171" s="10"/>
      <c r="AD171" s="10"/>
      <c r="AE171" s="75"/>
      <c r="AF171" s="8"/>
      <c r="AG171" s="2">
        <f t="shared" si="4"/>
        <v>1</v>
      </c>
      <c r="AH171" s="78">
        <f t="shared" si="5"/>
        <v>2</v>
      </c>
    </row>
    <row r="172" spans="1:34" s="9" customFormat="1" x14ac:dyDescent="0.45">
      <c r="A172" s="16" t="s">
        <v>273</v>
      </c>
      <c r="B172" s="13"/>
      <c r="C172" s="16" t="s">
        <v>273</v>
      </c>
      <c r="D172" s="16"/>
      <c r="E172" s="13" t="str">
        <f>IF(ISBLANK(A172),"neu",IF(ISBLANK(C172),"weg",IF(A172&lt;&gt;C172,"geändert","")))</f>
        <v/>
      </c>
      <c r="F172" s="13"/>
      <c r="G172" s="13"/>
      <c r="H172" s="13" t="s">
        <v>13</v>
      </c>
      <c r="I172" s="7"/>
      <c r="J172" s="1">
        <v>1</v>
      </c>
      <c r="K172" s="1"/>
      <c r="L172" s="1">
        <v>1</v>
      </c>
      <c r="M172" s="1"/>
      <c r="N172" s="1">
        <v>1</v>
      </c>
      <c r="O172" s="1">
        <v>1</v>
      </c>
      <c r="P172" s="1">
        <v>1</v>
      </c>
      <c r="Q172" s="1"/>
      <c r="R172" s="74">
        <v>1</v>
      </c>
      <c r="S172" s="10"/>
      <c r="T172" s="10"/>
      <c r="U172" s="69">
        <v>1</v>
      </c>
      <c r="V172" s="10"/>
      <c r="W172" s="10"/>
      <c r="Y172" s="10"/>
      <c r="Z172" s="10"/>
      <c r="AA172" s="10"/>
      <c r="AB172" s="10"/>
      <c r="AC172" s="10"/>
      <c r="AD172" s="10"/>
      <c r="AE172" s="75"/>
      <c r="AF172" s="8"/>
      <c r="AG172" s="2">
        <f t="shared" si="4"/>
        <v>1</v>
      </c>
      <c r="AH172" s="78">
        <f t="shared" si="5"/>
        <v>3</v>
      </c>
    </row>
    <row r="173" spans="1:34" s="9" customFormat="1" x14ac:dyDescent="0.45">
      <c r="A173" s="16" t="s">
        <v>274</v>
      </c>
      <c r="B173" s="13"/>
      <c r="C173" s="16" t="s">
        <v>274</v>
      </c>
      <c r="D173" s="16"/>
      <c r="E173" s="13" t="str">
        <f>IF(ISBLANK(A173),"neu",IF(ISBLANK(C173),"weg",IF(A173&lt;&gt;C173,"geändert","")))</f>
        <v/>
      </c>
      <c r="F173" s="13"/>
      <c r="G173" s="13"/>
      <c r="H173" s="13" t="s">
        <v>13</v>
      </c>
      <c r="I173" s="7"/>
      <c r="J173" s="1">
        <v>1</v>
      </c>
      <c r="K173" s="1"/>
      <c r="L173" s="1">
        <v>1</v>
      </c>
      <c r="M173" s="1"/>
      <c r="N173" s="1">
        <v>1</v>
      </c>
      <c r="O173" s="1">
        <v>1</v>
      </c>
      <c r="P173" s="1">
        <v>1</v>
      </c>
      <c r="Q173" s="1"/>
      <c r="R173" s="74">
        <v>1</v>
      </c>
      <c r="S173" s="10"/>
      <c r="T173" s="69">
        <v>1</v>
      </c>
      <c r="U173" s="10"/>
      <c r="V173" s="10"/>
      <c r="W173" s="10"/>
      <c r="Y173" s="10"/>
      <c r="Z173" s="10"/>
      <c r="AA173" s="10"/>
      <c r="AB173" s="10"/>
      <c r="AC173" s="10"/>
      <c r="AD173" s="10"/>
      <c r="AE173" s="75"/>
      <c r="AF173" s="8"/>
      <c r="AG173" s="2">
        <f t="shared" si="4"/>
        <v>1</v>
      </c>
      <c r="AH173" s="78">
        <f t="shared" si="5"/>
        <v>2</v>
      </c>
    </row>
    <row r="174" spans="1:34" s="9" customFormat="1" x14ac:dyDescent="0.45">
      <c r="A174" s="16" t="s">
        <v>275</v>
      </c>
      <c r="B174" s="13"/>
      <c r="C174" s="16" t="s">
        <v>275</v>
      </c>
      <c r="D174" s="16"/>
      <c r="E174" s="13" t="str">
        <f>IF(ISBLANK(A174),"neu",IF(ISBLANK(C174),"weg",IF(A174&lt;&gt;C174,"geändert","")))</f>
        <v/>
      </c>
      <c r="F174" s="13"/>
      <c r="G174" s="13"/>
      <c r="H174" s="13" t="s">
        <v>14</v>
      </c>
      <c r="I174" s="7"/>
      <c r="J174" s="1">
        <v>1</v>
      </c>
      <c r="K174" s="1"/>
      <c r="L174" s="1">
        <v>1</v>
      </c>
      <c r="M174" s="1"/>
      <c r="N174" s="1">
        <v>1</v>
      </c>
      <c r="O174" s="1">
        <v>1</v>
      </c>
      <c r="P174" s="1">
        <v>1</v>
      </c>
      <c r="Q174" s="1"/>
      <c r="R174" s="74">
        <v>1</v>
      </c>
      <c r="S174" s="10"/>
      <c r="T174" s="69">
        <v>1</v>
      </c>
      <c r="U174" s="10"/>
      <c r="V174" s="10"/>
      <c r="W174" s="10"/>
      <c r="Y174" s="10"/>
      <c r="Z174" s="10"/>
      <c r="AA174" s="10"/>
      <c r="AB174" s="10"/>
      <c r="AC174" s="10"/>
      <c r="AD174" s="10"/>
      <c r="AE174" s="75"/>
      <c r="AF174" s="8"/>
      <c r="AG174" s="2">
        <f t="shared" si="4"/>
        <v>1</v>
      </c>
      <c r="AH174" s="78">
        <f t="shared" si="5"/>
        <v>2</v>
      </c>
    </row>
    <row r="175" spans="1:34" s="9" customFormat="1" x14ac:dyDescent="0.45">
      <c r="A175" s="16" t="s">
        <v>276</v>
      </c>
      <c r="B175" s="13"/>
      <c r="C175" s="16" t="s">
        <v>276</v>
      </c>
      <c r="D175" s="16"/>
      <c r="E175" s="13" t="str">
        <f>IF(ISBLANK(A175),"neu",IF(ISBLANK(C175),"weg",IF(A175&lt;&gt;C175,"geändert","")))</f>
        <v/>
      </c>
      <c r="F175" s="13"/>
      <c r="G175" s="13"/>
      <c r="H175" s="13" t="s">
        <v>14</v>
      </c>
      <c r="I175" s="7"/>
      <c r="J175" s="1">
        <v>1</v>
      </c>
      <c r="K175" s="1"/>
      <c r="L175" s="1">
        <v>1</v>
      </c>
      <c r="M175" s="1"/>
      <c r="N175" s="1">
        <v>1</v>
      </c>
      <c r="O175" s="1">
        <v>1</v>
      </c>
      <c r="P175" s="1">
        <v>1</v>
      </c>
      <c r="Q175" s="1"/>
      <c r="R175" s="74">
        <v>1</v>
      </c>
      <c r="S175" s="10"/>
      <c r="T175" s="69">
        <v>1</v>
      </c>
      <c r="U175" s="10"/>
      <c r="V175" s="10"/>
      <c r="W175" s="10"/>
      <c r="Y175" s="10"/>
      <c r="Z175" s="10"/>
      <c r="AA175" s="10"/>
      <c r="AB175" s="10"/>
      <c r="AC175" s="10"/>
      <c r="AD175" s="10"/>
      <c r="AE175" s="75"/>
      <c r="AF175" s="8"/>
      <c r="AG175" s="2">
        <f t="shared" si="4"/>
        <v>1</v>
      </c>
      <c r="AH175" s="78">
        <f t="shared" si="5"/>
        <v>2</v>
      </c>
    </row>
    <row r="176" spans="1:34" s="9" customFormat="1" x14ac:dyDescent="0.45">
      <c r="A176" s="16" t="s">
        <v>277</v>
      </c>
      <c r="B176" s="13"/>
      <c r="C176" s="16" t="s">
        <v>277</v>
      </c>
      <c r="D176" s="16"/>
      <c r="E176" s="13" t="str">
        <f>IF(ISBLANK(A176),"neu",IF(ISBLANK(C176),"weg",IF(A176&lt;&gt;C176,"geändert","")))</f>
        <v/>
      </c>
      <c r="F176" s="13"/>
      <c r="G176" s="13"/>
      <c r="H176" s="13" t="s">
        <v>14</v>
      </c>
      <c r="I176" s="7"/>
      <c r="J176" s="1">
        <v>1</v>
      </c>
      <c r="K176" s="1"/>
      <c r="L176" s="1">
        <v>1</v>
      </c>
      <c r="M176" s="1"/>
      <c r="N176" s="1">
        <v>1</v>
      </c>
      <c r="O176" s="1">
        <v>1</v>
      </c>
      <c r="P176" s="1">
        <v>1</v>
      </c>
      <c r="Q176" s="1"/>
      <c r="R176" s="74">
        <v>1</v>
      </c>
      <c r="S176" s="10"/>
      <c r="T176" s="10"/>
      <c r="U176" s="69">
        <v>1</v>
      </c>
      <c r="V176" s="10"/>
      <c r="W176" s="10"/>
      <c r="Y176" s="10"/>
      <c r="Z176" s="10"/>
      <c r="AA176" s="10"/>
      <c r="AB176" s="10"/>
      <c r="AC176" s="10"/>
      <c r="AD176" s="10"/>
      <c r="AE176" s="75"/>
      <c r="AF176" s="8"/>
      <c r="AG176" s="2">
        <f t="shared" si="4"/>
        <v>1</v>
      </c>
      <c r="AH176" s="78">
        <f t="shared" si="5"/>
        <v>3</v>
      </c>
    </row>
    <row r="177" spans="1:34" s="9" customFormat="1" x14ac:dyDescent="0.45">
      <c r="A177" s="39" t="s">
        <v>470</v>
      </c>
      <c r="B177" s="13"/>
      <c r="C177" s="39" t="s">
        <v>470</v>
      </c>
      <c r="D177" s="16"/>
      <c r="E177" s="13" t="str">
        <f>IF(ISBLANK(A177),"neu",IF(ISBLANK(C177),"weg",IF(A177&lt;&gt;C177,"geändert","")))</f>
        <v/>
      </c>
      <c r="F177" s="13"/>
      <c r="G177" s="13"/>
      <c r="H177" s="47" t="s">
        <v>15</v>
      </c>
      <c r="I177" s="7"/>
      <c r="J177" s="116">
        <v>1</v>
      </c>
      <c r="K177" s="1"/>
      <c r="L177" s="1">
        <v>1</v>
      </c>
      <c r="M177" s="1"/>
      <c r="N177" s="1">
        <v>1</v>
      </c>
      <c r="O177" s="1">
        <v>1</v>
      </c>
      <c r="P177" s="1">
        <v>1</v>
      </c>
      <c r="Q177" s="1"/>
      <c r="R177" s="74">
        <v>1</v>
      </c>
      <c r="S177" s="10"/>
      <c r="T177" s="69">
        <v>1</v>
      </c>
      <c r="U177" s="10"/>
      <c r="V177" s="10"/>
      <c r="W177" s="10"/>
      <c r="Y177" s="10"/>
      <c r="Z177" s="10"/>
      <c r="AA177" s="10"/>
      <c r="AB177" s="10"/>
      <c r="AC177" s="10"/>
      <c r="AD177" s="10"/>
      <c r="AE177" s="75"/>
      <c r="AF177" s="8"/>
      <c r="AG177" s="2">
        <f t="shared" si="4"/>
        <v>1</v>
      </c>
      <c r="AH177" s="78">
        <f t="shared" si="5"/>
        <v>2</v>
      </c>
    </row>
    <row r="178" spans="1:34" s="9" customFormat="1" x14ac:dyDescent="0.45">
      <c r="A178" s="39" t="s">
        <v>471</v>
      </c>
      <c r="B178" s="13"/>
      <c r="C178" s="39" t="s">
        <v>471</v>
      </c>
      <c r="D178" s="16"/>
      <c r="E178" s="13" t="str">
        <f>IF(ISBLANK(A178),"neu",IF(ISBLANK(C178),"weg",IF(A178&lt;&gt;C178,"geändert","")))</f>
        <v/>
      </c>
      <c r="F178" s="13"/>
      <c r="G178" s="13"/>
      <c r="H178" s="47" t="s">
        <v>15</v>
      </c>
      <c r="I178" s="7"/>
      <c r="J178" s="116">
        <v>1</v>
      </c>
      <c r="K178" s="1"/>
      <c r="L178" s="1">
        <v>1</v>
      </c>
      <c r="M178" s="1"/>
      <c r="N178" s="1">
        <v>1</v>
      </c>
      <c r="O178" s="1">
        <v>1</v>
      </c>
      <c r="P178" s="1">
        <v>1</v>
      </c>
      <c r="Q178" s="1"/>
      <c r="R178" s="74">
        <v>1</v>
      </c>
      <c r="S178" s="10"/>
      <c r="T178" s="69">
        <v>1</v>
      </c>
      <c r="U178" s="10"/>
      <c r="V178" s="10"/>
      <c r="W178" s="10"/>
      <c r="Y178" s="10"/>
      <c r="Z178" s="10"/>
      <c r="AA178" s="10"/>
      <c r="AB178" s="10"/>
      <c r="AC178" s="10"/>
      <c r="AD178" s="10"/>
      <c r="AE178" s="75"/>
      <c r="AF178" s="8"/>
      <c r="AG178" s="2">
        <f t="shared" si="4"/>
        <v>1</v>
      </c>
      <c r="AH178" s="78">
        <f t="shared" si="5"/>
        <v>2</v>
      </c>
    </row>
    <row r="179" spans="1:34" s="9" customFormat="1" x14ac:dyDescent="0.45">
      <c r="A179" s="39" t="s">
        <v>472</v>
      </c>
      <c r="B179" s="13"/>
      <c r="C179" s="39" t="s">
        <v>472</v>
      </c>
      <c r="D179" s="16"/>
      <c r="E179" s="13" t="str">
        <f>IF(ISBLANK(A179),"neu",IF(ISBLANK(C179),"weg",IF(A179&lt;&gt;C179,"geändert","")))</f>
        <v/>
      </c>
      <c r="F179" s="13"/>
      <c r="G179" s="13"/>
      <c r="H179" s="47" t="s">
        <v>15</v>
      </c>
      <c r="I179" s="7"/>
      <c r="J179" s="116">
        <v>1</v>
      </c>
      <c r="K179" s="1"/>
      <c r="L179" s="1">
        <v>1</v>
      </c>
      <c r="M179" s="1"/>
      <c r="N179" s="1">
        <v>1</v>
      </c>
      <c r="O179" s="1">
        <v>1</v>
      </c>
      <c r="P179" s="1">
        <v>1</v>
      </c>
      <c r="Q179" s="1"/>
      <c r="R179" s="74">
        <v>1</v>
      </c>
      <c r="S179" s="10"/>
      <c r="T179" s="69">
        <v>1</v>
      </c>
      <c r="U179" s="10"/>
      <c r="V179" s="10"/>
      <c r="W179" s="10"/>
      <c r="Y179" s="10"/>
      <c r="Z179" s="10"/>
      <c r="AA179" s="10"/>
      <c r="AB179" s="10"/>
      <c r="AC179" s="10"/>
      <c r="AD179" s="10"/>
      <c r="AE179" s="75"/>
      <c r="AF179" s="8"/>
      <c r="AG179" s="2">
        <f t="shared" si="4"/>
        <v>1</v>
      </c>
      <c r="AH179" s="78">
        <f t="shared" si="5"/>
        <v>2</v>
      </c>
    </row>
    <row r="180" spans="1:34" s="9" customFormat="1" x14ac:dyDescent="0.45">
      <c r="A180" s="16"/>
      <c r="B180" s="13"/>
      <c r="C180" s="20" t="s">
        <v>278</v>
      </c>
      <c r="D180" s="20"/>
      <c r="E180" s="13" t="str">
        <f>IF(ISBLANK(A180),"neu",IF(ISBLANK(C180),"weg",IF(A180&lt;&gt;C180,"geändert","")))</f>
        <v>neu</v>
      </c>
      <c r="F180" s="13"/>
      <c r="G180" s="13"/>
      <c r="H180" s="13" t="s">
        <v>14</v>
      </c>
      <c r="I180" s="7"/>
      <c r="J180" s="1">
        <v>1</v>
      </c>
      <c r="K180" s="1"/>
      <c r="L180" s="1">
        <v>1</v>
      </c>
      <c r="M180" s="1"/>
      <c r="N180" s="1">
        <v>1</v>
      </c>
      <c r="O180" s="1">
        <v>1</v>
      </c>
      <c r="P180" s="1">
        <v>1</v>
      </c>
      <c r="Q180" s="1"/>
      <c r="R180" s="74">
        <v>1</v>
      </c>
      <c r="S180" s="10"/>
      <c r="T180" s="10"/>
      <c r="U180" s="69">
        <v>1</v>
      </c>
      <c r="V180" s="10"/>
      <c r="W180" s="10"/>
      <c r="Y180" s="10"/>
      <c r="Z180" s="10"/>
      <c r="AA180" s="10"/>
      <c r="AB180" s="10"/>
      <c r="AC180" s="10"/>
      <c r="AD180" s="10"/>
      <c r="AE180" s="75"/>
      <c r="AF180" s="8"/>
      <c r="AG180" s="2">
        <f t="shared" si="4"/>
        <v>1</v>
      </c>
      <c r="AH180" s="78">
        <f t="shared" si="5"/>
        <v>3</v>
      </c>
    </row>
    <row r="181" spans="1:34" s="9" customFormat="1" x14ac:dyDescent="0.45">
      <c r="A181" s="16"/>
      <c r="B181" s="13"/>
      <c r="C181" s="39" t="s">
        <v>473</v>
      </c>
      <c r="D181" s="20"/>
      <c r="E181" s="13" t="str">
        <f>IF(ISBLANK(A181),"neu",IF(ISBLANK(C181),"weg",IF(A181&lt;&gt;C181,"geändert","")))</f>
        <v>neu</v>
      </c>
      <c r="F181" s="13"/>
      <c r="G181" s="13"/>
      <c r="H181" s="47" t="s">
        <v>15</v>
      </c>
      <c r="I181" s="7"/>
      <c r="J181" s="116">
        <v>1</v>
      </c>
      <c r="K181" s="1"/>
      <c r="L181" s="1">
        <v>1</v>
      </c>
      <c r="M181" s="1"/>
      <c r="N181" s="1">
        <v>1</v>
      </c>
      <c r="O181" s="1">
        <v>1</v>
      </c>
      <c r="P181" s="1">
        <v>1</v>
      </c>
      <c r="Q181" s="1"/>
      <c r="R181" s="74">
        <v>1</v>
      </c>
      <c r="S181" s="10"/>
      <c r="T181" s="10"/>
      <c r="U181" s="69">
        <v>1</v>
      </c>
      <c r="V181" s="10"/>
      <c r="W181" s="10"/>
      <c r="Y181" s="10"/>
      <c r="Z181" s="10"/>
      <c r="AA181" s="10"/>
      <c r="AB181" s="10"/>
      <c r="AC181" s="10"/>
      <c r="AD181" s="10"/>
      <c r="AE181" s="75"/>
      <c r="AF181" s="8"/>
      <c r="AG181" s="2">
        <f t="shared" si="4"/>
        <v>1</v>
      </c>
      <c r="AH181" s="78">
        <f t="shared" si="5"/>
        <v>3</v>
      </c>
    </row>
    <row r="182" spans="1:34" s="9" customFormat="1" x14ac:dyDescent="0.45">
      <c r="A182" s="16"/>
      <c r="B182" s="13"/>
      <c r="C182" s="39" t="s">
        <v>474</v>
      </c>
      <c r="D182" s="20"/>
      <c r="E182" s="13" t="str">
        <f>IF(ISBLANK(A182),"neu",IF(ISBLANK(C182),"weg",IF(A182&lt;&gt;C182,"geändert","")))</f>
        <v>neu</v>
      </c>
      <c r="F182" s="13"/>
      <c r="G182" s="13"/>
      <c r="H182" s="47" t="s">
        <v>15</v>
      </c>
      <c r="I182" s="7"/>
      <c r="J182" s="116">
        <v>1</v>
      </c>
      <c r="K182" s="1"/>
      <c r="L182" s="1">
        <v>1</v>
      </c>
      <c r="M182" s="1"/>
      <c r="N182" s="1">
        <v>1</v>
      </c>
      <c r="O182" s="1">
        <v>1</v>
      </c>
      <c r="P182" s="1">
        <v>1</v>
      </c>
      <c r="Q182" s="1"/>
      <c r="R182" s="74">
        <v>1</v>
      </c>
      <c r="S182" s="10"/>
      <c r="T182" s="10"/>
      <c r="U182" s="69">
        <v>1</v>
      </c>
      <c r="V182" s="10"/>
      <c r="W182" s="10"/>
      <c r="Y182" s="10"/>
      <c r="Z182" s="10"/>
      <c r="AA182" s="10"/>
      <c r="AB182" s="10"/>
      <c r="AC182" s="10"/>
      <c r="AD182" s="10"/>
      <c r="AE182" s="75"/>
      <c r="AF182" s="8"/>
      <c r="AG182" s="2">
        <f t="shared" si="4"/>
        <v>1</v>
      </c>
      <c r="AH182" s="78">
        <f t="shared" si="5"/>
        <v>3</v>
      </c>
    </row>
    <row r="183" spans="1:34" s="9" customFormat="1" x14ac:dyDescent="0.45">
      <c r="A183" s="16" t="s">
        <v>279</v>
      </c>
      <c r="B183" s="13"/>
      <c r="C183" s="16" t="s">
        <v>279</v>
      </c>
      <c r="D183" s="16"/>
      <c r="E183" s="13" t="str">
        <f>IF(ISBLANK(A183),"neu",IF(ISBLANK(C183),"weg",IF(A183&lt;&gt;C183,"geändert","")))</f>
        <v/>
      </c>
      <c r="F183" s="13"/>
      <c r="G183" s="13"/>
      <c r="H183" s="13" t="s">
        <v>13</v>
      </c>
      <c r="I183" s="7"/>
      <c r="J183" s="1">
        <v>1</v>
      </c>
      <c r="K183" s="1"/>
      <c r="L183" s="1">
        <v>1</v>
      </c>
      <c r="M183" s="1"/>
      <c r="N183" s="1">
        <v>1</v>
      </c>
      <c r="O183" s="1">
        <v>1</v>
      </c>
      <c r="P183" s="1">
        <v>1</v>
      </c>
      <c r="Q183" s="1"/>
      <c r="R183" s="74">
        <v>1</v>
      </c>
      <c r="S183" s="10"/>
      <c r="T183" s="10"/>
      <c r="U183" s="10"/>
      <c r="V183" s="10"/>
      <c r="W183" s="10"/>
      <c r="Y183" s="10"/>
      <c r="Z183" s="10"/>
      <c r="AA183" s="69">
        <v>1</v>
      </c>
      <c r="AB183" s="10"/>
      <c r="AC183" s="10"/>
      <c r="AD183" s="10"/>
      <c r="AE183" s="75"/>
      <c r="AF183" s="8"/>
      <c r="AG183" s="2">
        <f t="shared" si="4"/>
        <v>1</v>
      </c>
      <c r="AH183" s="78">
        <f t="shared" si="5"/>
        <v>9</v>
      </c>
    </row>
    <row r="184" spans="1:34" s="9" customFormat="1" x14ac:dyDescent="0.45">
      <c r="A184" s="16" t="s">
        <v>280</v>
      </c>
      <c r="B184" s="13"/>
      <c r="C184" s="16" t="s">
        <v>280</v>
      </c>
      <c r="D184" s="16"/>
      <c r="E184" s="13" t="str">
        <f>IF(ISBLANK(A184),"neu",IF(ISBLANK(C184),"weg",IF(A184&lt;&gt;C184,"geändert","")))</f>
        <v/>
      </c>
      <c r="F184" s="13"/>
      <c r="G184" s="13"/>
      <c r="H184" s="13" t="s">
        <v>13</v>
      </c>
      <c r="I184" s="7"/>
      <c r="J184" s="1">
        <v>1</v>
      </c>
      <c r="K184" s="1"/>
      <c r="L184" s="1">
        <v>1</v>
      </c>
      <c r="M184" s="1"/>
      <c r="N184" s="1">
        <v>1</v>
      </c>
      <c r="O184" s="1">
        <v>1</v>
      </c>
      <c r="P184" s="1">
        <v>1</v>
      </c>
      <c r="Q184" s="1"/>
      <c r="R184" s="74">
        <v>1</v>
      </c>
      <c r="S184" s="10"/>
      <c r="T184" s="10"/>
      <c r="U184" s="10"/>
      <c r="V184" s="10"/>
      <c r="W184" s="10"/>
      <c r="Y184" s="10"/>
      <c r="Z184" s="10"/>
      <c r="AA184" s="69">
        <v>1</v>
      </c>
      <c r="AB184" s="10"/>
      <c r="AC184" s="10"/>
      <c r="AD184" s="10"/>
      <c r="AE184" s="75"/>
      <c r="AF184" s="8"/>
      <c r="AG184" s="2">
        <f t="shared" si="4"/>
        <v>1</v>
      </c>
      <c r="AH184" s="78">
        <f t="shared" si="5"/>
        <v>9</v>
      </c>
    </row>
    <row r="185" spans="1:34" s="9" customFormat="1" x14ac:dyDescent="0.45">
      <c r="A185" s="16" t="s">
        <v>281</v>
      </c>
      <c r="B185" s="13"/>
      <c r="C185" s="16" t="s">
        <v>281</v>
      </c>
      <c r="D185" s="16"/>
      <c r="E185" s="13" t="str">
        <f>IF(ISBLANK(A185),"neu",IF(ISBLANK(C185),"weg",IF(A185&lt;&gt;C185,"geändert","")))</f>
        <v/>
      </c>
      <c r="F185" s="13"/>
      <c r="G185" s="13"/>
      <c r="H185" s="13" t="s">
        <v>13</v>
      </c>
      <c r="I185" s="7"/>
      <c r="J185" s="1">
        <v>1</v>
      </c>
      <c r="K185" s="1"/>
      <c r="L185" s="1">
        <v>1</v>
      </c>
      <c r="M185" s="1"/>
      <c r="N185" s="1">
        <v>1</v>
      </c>
      <c r="O185" s="1">
        <v>1</v>
      </c>
      <c r="P185" s="1">
        <v>1</v>
      </c>
      <c r="Q185" s="1"/>
      <c r="R185" s="74">
        <v>1</v>
      </c>
      <c r="S185" s="69">
        <v>1</v>
      </c>
      <c r="T185" s="10"/>
      <c r="U185" s="10"/>
      <c r="V185" s="10"/>
      <c r="W185" s="10"/>
      <c r="Y185" s="10"/>
      <c r="Z185" s="10"/>
      <c r="AA185" s="10"/>
      <c r="AB185" s="10"/>
      <c r="AC185" s="10"/>
      <c r="AD185" s="10"/>
      <c r="AE185" s="75"/>
      <c r="AF185" s="8"/>
      <c r="AG185" s="2">
        <f t="shared" si="4"/>
        <v>1</v>
      </c>
      <c r="AH185" s="78">
        <f t="shared" si="5"/>
        <v>1</v>
      </c>
    </row>
    <row r="186" spans="1:34" s="9" customFormat="1" x14ac:dyDescent="0.45">
      <c r="A186" s="16" t="s">
        <v>282</v>
      </c>
      <c r="B186" s="13"/>
      <c r="C186" s="16" t="s">
        <v>282</v>
      </c>
      <c r="D186" s="16"/>
      <c r="E186" s="13" t="str">
        <f>IF(ISBLANK(A186),"neu",IF(ISBLANK(C186),"weg",IF(A186&lt;&gt;C186,"geändert","")))</f>
        <v/>
      </c>
      <c r="F186" s="13"/>
      <c r="G186" s="13"/>
      <c r="H186" s="13" t="s">
        <v>13</v>
      </c>
      <c r="I186" s="7"/>
      <c r="J186" s="1">
        <v>1</v>
      </c>
      <c r="K186" s="1"/>
      <c r="L186" s="1">
        <v>1</v>
      </c>
      <c r="M186" s="1"/>
      <c r="N186" s="1">
        <v>1</v>
      </c>
      <c r="O186" s="1">
        <v>1</v>
      </c>
      <c r="P186" s="1">
        <v>1</v>
      </c>
      <c r="Q186" s="1"/>
      <c r="R186" s="74">
        <v>1</v>
      </c>
      <c r="S186" s="10"/>
      <c r="T186" s="10"/>
      <c r="U186" s="10"/>
      <c r="V186" s="10"/>
      <c r="W186" s="10"/>
      <c r="Y186" s="10"/>
      <c r="Z186" s="10"/>
      <c r="AA186" s="69">
        <v>1</v>
      </c>
      <c r="AB186" s="10"/>
      <c r="AC186" s="10"/>
      <c r="AD186" s="10"/>
      <c r="AE186" s="75"/>
      <c r="AF186" s="8"/>
      <c r="AG186" s="2">
        <f t="shared" si="4"/>
        <v>1</v>
      </c>
      <c r="AH186" s="78">
        <f t="shared" si="5"/>
        <v>9</v>
      </c>
    </row>
    <row r="187" spans="1:34" s="9" customFormat="1" x14ac:dyDescent="0.45">
      <c r="A187" s="39" t="s">
        <v>475</v>
      </c>
      <c r="B187" s="13"/>
      <c r="C187" s="39" t="s">
        <v>475</v>
      </c>
      <c r="D187" s="16"/>
      <c r="E187" s="13" t="str">
        <f>IF(ISBLANK(A187),"neu",IF(ISBLANK(C187),"weg",IF(A187&lt;&gt;C187,"geändert","")))</f>
        <v/>
      </c>
      <c r="F187" s="13"/>
      <c r="G187" s="13"/>
      <c r="H187" s="47" t="s">
        <v>15</v>
      </c>
      <c r="I187" s="7"/>
      <c r="J187" s="116">
        <v>1</v>
      </c>
      <c r="K187" s="1"/>
      <c r="L187" s="1">
        <v>1</v>
      </c>
      <c r="M187" s="1"/>
      <c r="N187" s="1">
        <v>1</v>
      </c>
      <c r="O187" s="1">
        <v>1</v>
      </c>
      <c r="P187" s="1">
        <v>1</v>
      </c>
      <c r="Q187" s="1"/>
      <c r="R187" s="74">
        <v>1</v>
      </c>
      <c r="S187" s="10"/>
      <c r="T187" s="10"/>
      <c r="U187" s="10"/>
      <c r="V187" s="10"/>
      <c r="W187" s="10"/>
      <c r="Y187" s="10"/>
      <c r="Z187" s="10"/>
      <c r="AA187" s="69">
        <v>1</v>
      </c>
      <c r="AB187" s="10"/>
      <c r="AC187" s="10"/>
      <c r="AD187" s="10"/>
      <c r="AE187" s="75"/>
      <c r="AF187" s="8"/>
      <c r="AG187" s="2">
        <f t="shared" si="4"/>
        <v>1</v>
      </c>
      <c r="AH187" s="78">
        <f t="shared" si="5"/>
        <v>9</v>
      </c>
    </row>
    <row r="188" spans="1:34" s="9" customFormat="1" x14ac:dyDescent="0.45">
      <c r="A188" s="39" t="s">
        <v>476</v>
      </c>
      <c r="B188" s="13"/>
      <c r="C188" s="39" t="s">
        <v>476</v>
      </c>
      <c r="D188" s="16"/>
      <c r="E188" s="13" t="str">
        <f>IF(ISBLANK(A188),"neu",IF(ISBLANK(C188),"weg",IF(A188&lt;&gt;C188,"geändert","")))</f>
        <v/>
      </c>
      <c r="F188" s="13"/>
      <c r="G188" s="13"/>
      <c r="H188" s="47" t="s">
        <v>15</v>
      </c>
      <c r="I188" s="7"/>
      <c r="J188" s="116">
        <v>1</v>
      </c>
      <c r="K188" s="1"/>
      <c r="L188" s="1">
        <v>1</v>
      </c>
      <c r="M188" s="1"/>
      <c r="N188" s="1">
        <v>1</v>
      </c>
      <c r="O188" s="1">
        <v>1</v>
      </c>
      <c r="P188" s="1">
        <v>1</v>
      </c>
      <c r="Q188" s="1"/>
      <c r="R188" s="74">
        <v>1</v>
      </c>
      <c r="S188" s="10"/>
      <c r="T188" s="10"/>
      <c r="U188" s="10"/>
      <c r="V188" s="10"/>
      <c r="W188" s="10"/>
      <c r="Y188" s="10"/>
      <c r="Z188" s="10"/>
      <c r="AA188" s="69">
        <v>1</v>
      </c>
      <c r="AB188" s="10"/>
      <c r="AC188" s="10"/>
      <c r="AD188" s="10"/>
      <c r="AE188" s="75"/>
      <c r="AF188" s="8"/>
      <c r="AG188" s="2">
        <f t="shared" si="4"/>
        <v>1</v>
      </c>
      <c r="AH188" s="78">
        <f t="shared" si="5"/>
        <v>9</v>
      </c>
    </row>
    <row r="189" spans="1:34" s="9" customFormat="1" x14ac:dyDescent="0.45">
      <c r="A189" s="16"/>
      <c r="B189" s="13"/>
      <c r="C189" s="20" t="s">
        <v>283</v>
      </c>
      <c r="D189" s="20"/>
      <c r="E189" s="13" t="str">
        <f>IF(ISBLANK(A189),"neu",IF(ISBLANK(C189),"weg",IF(A189&lt;&gt;C189,"geändert","")))</f>
        <v>neu</v>
      </c>
      <c r="F189" s="13"/>
      <c r="G189" s="13"/>
      <c r="H189" s="13" t="s">
        <v>14</v>
      </c>
      <c r="I189" s="7"/>
      <c r="J189" s="1">
        <v>1</v>
      </c>
      <c r="K189" s="1"/>
      <c r="L189" s="1">
        <v>1</v>
      </c>
      <c r="M189" s="1"/>
      <c r="N189" s="1">
        <v>1</v>
      </c>
      <c r="O189" s="1">
        <v>1</v>
      </c>
      <c r="P189" s="1">
        <v>1</v>
      </c>
      <c r="Q189" s="1"/>
      <c r="R189" s="74">
        <v>1</v>
      </c>
      <c r="S189" s="10"/>
      <c r="T189" s="10"/>
      <c r="U189" s="10"/>
      <c r="V189" s="10"/>
      <c r="W189" s="10"/>
      <c r="Y189" s="10"/>
      <c r="Z189" s="10"/>
      <c r="AA189" s="69">
        <v>1</v>
      </c>
      <c r="AB189" s="10"/>
      <c r="AC189" s="10"/>
      <c r="AD189" s="10"/>
      <c r="AE189" s="75"/>
      <c r="AF189" s="8"/>
      <c r="AG189" s="2">
        <f t="shared" ref="AG189:AG216" si="6">IF(SUM(S189:AF189)&gt;0,SUM(S189:AF189),"")</f>
        <v>1</v>
      </c>
      <c r="AH189" s="78">
        <f t="shared" ref="AH189:AH216" si="7">IF(SUM(S189:AF189)&lt;1,"",S189*1+T189*2+U189*3+V189*4+W189*5+X189*6+Y189*7+Z189*8+AA189*9+AB189*10+AC189*11+AD189*12+AE189*13+AF189*14)</f>
        <v>9</v>
      </c>
    </row>
    <row r="190" spans="1:34" s="9" customFormat="1" x14ac:dyDescent="0.45">
      <c r="A190" s="16"/>
      <c r="B190" s="13"/>
      <c r="C190" s="20" t="s">
        <v>284</v>
      </c>
      <c r="D190" s="20"/>
      <c r="E190" s="13" t="str">
        <f>IF(ISBLANK(A190),"neu",IF(ISBLANK(C190),"weg",IF(A190&lt;&gt;C190,"geändert","")))</f>
        <v>neu</v>
      </c>
      <c r="F190" s="13"/>
      <c r="G190" s="13"/>
      <c r="H190" s="13" t="s">
        <v>14</v>
      </c>
      <c r="I190" s="7"/>
      <c r="J190" s="1">
        <v>1</v>
      </c>
      <c r="K190" s="1"/>
      <c r="L190" s="1">
        <v>1</v>
      </c>
      <c r="M190" s="1"/>
      <c r="N190" s="1">
        <v>1</v>
      </c>
      <c r="O190" s="1">
        <v>1</v>
      </c>
      <c r="P190" s="1">
        <v>1</v>
      </c>
      <c r="Q190" s="1"/>
      <c r="R190" s="74">
        <v>1</v>
      </c>
      <c r="S190" s="10"/>
      <c r="T190" s="10"/>
      <c r="U190" s="10"/>
      <c r="V190" s="10"/>
      <c r="W190" s="10"/>
      <c r="Y190" s="10"/>
      <c r="Z190" s="10"/>
      <c r="AA190" s="69">
        <v>1</v>
      </c>
      <c r="AB190" s="10"/>
      <c r="AC190" s="10"/>
      <c r="AD190" s="10"/>
      <c r="AE190" s="75"/>
      <c r="AF190" s="8"/>
      <c r="AG190" s="2">
        <f t="shared" si="6"/>
        <v>1</v>
      </c>
      <c r="AH190" s="78">
        <f t="shared" si="7"/>
        <v>9</v>
      </c>
    </row>
    <row r="191" spans="1:34" s="9" customFormat="1" x14ac:dyDescent="0.45">
      <c r="A191" s="16" t="s">
        <v>285</v>
      </c>
      <c r="B191" s="13"/>
      <c r="C191" s="16" t="s">
        <v>285</v>
      </c>
      <c r="D191" s="16"/>
      <c r="E191" s="13" t="str">
        <f>IF(ISBLANK(A191),"neu",IF(ISBLANK(C191),"weg",IF(A191&lt;&gt;C191,"geändert","")))</f>
        <v/>
      </c>
      <c r="F191" s="13"/>
      <c r="G191" s="13"/>
      <c r="H191" s="13" t="s">
        <v>13</v>
      </c>
      <c r="I191" s="7"/>
      <c r="J191" s="1">
        <v>1</v>
      </c>
      <c r="K191" s="1"/>
      <c r="L191" s="1"/>
      <c r="M191" s="1"/>
      <c r="N191" s="1"/>
      <c r="O191" s="1"/>
      <c r="P191" s="1"/>
      <c r="Q191" s="1"/>
      <c r="R191" s="74">
        <v>1</v>
      </c>
      <c r="S191" s="69">
        <v>1</v>
      </c>
      <c r="T191" s="10"/>
      <c r="U191" s="10"/>
      <c r="V191" s="10"/>
      <c r="W191" s="10"/>
      <c r="Y191" s="10"/>
      <c r="Z191" s="10"/>
      <c r="AA191" s="10"/>
      <c r="AB191" s="10"/>
      <c r="AC191" s="10"/>
      <c r="AD191" s="10"/>
      <c r="AE191" s="75"/>
      <c r="AF191" s="8"/>
      <c r="AG191" s="2">
        <f t="shared" si="6"/>
        <v>1</v>
      </c>
      <c r="AH191" s="78">
        <f t="shared" si="7"/>
        <v>1</v>
      </c>
    </row>
    <row r="192" spans="1:34" s="9" customFormat="1" x14ac:dyDescent="0.45">
      <c r="A192" s="16" t="s">
        <v>286</v>
      </c>
      <c r="B192" s="13"/>
      <c r="C192" s="16" t="s">
        <v>286</v>
      </c>
      <c r="D192" s="16"/>
      <c r="E192" s="13" t="str">
        <f>IF(ISBLANK(A192),"neu",IF(ISBLANK(C192),"weg",IF(A192&lt;&gt;C192,"geändert","")))</f>
        <v/>
      </c>
      <c r="F192" s="13"/>
      <c r="G192" s="13"/>
      <c r="H192" s="13" t="s">
        <v>14</v>
      </c>
      <c r="I192" s="7"/>
      <c r="J192" s="1">
        <v>1</v>
      </c>
      <c r="K192" s="1"/>
      <c r="L192" s="1"/>
      <c r="M192" s="1"/>
      <c r="N192" s="1"/>
      <c r="O192" s="1"/>
      <c r="P192" s="1"/>
      <c r="Q192" s="1"/>
      <c r="R192" s="74">
        <v>1</v>
      </c>
      <c r="S192" s="69">
        <v>1</v>
      </c>
      <c r="T192" s="10"/>
      <c r="U192" s="10"/>
      <c r="V192" s="10"/>
      <c r="W192" s="10"/>
      <c r="Y192" s="10"/>
      <c r="Z192" s="10"/>
      <c r="AA192" s="10"/>
      <c r="AB192" s="10"/>
      <c r="AC192" s="10"/>
      <c r="AD192" s="10"/>
      <c r="AE192" s="75"/>
      <c r="AF192" s="8"/>
      <c r="AG192" s="2">
        <f t="shared" si="6"/>
        <v>1</v>
      </c>
      <c r="AH192" s="78">
        <f t="shared" si="7"/>
        <v>1</v>
      </c>
    </row>
    <row r="193" spans="1:34" s="9" customFormat="1" x14ac:dyDescent="0.45">
      <c r="A193" s="39" t="s">
        <v>477</v>
      </c>
      <c r="B193" s="13"/>
      <c r="C193" s="39" t="s">
        <v>477</v>
      </c>
      <c r="D193" s="16"/>
      <c r="E193" s="13" t="str">
        <f>IF(ISBLANK(A193),"neu",IF(ISBLANK(C193),"weg",IF(A193&lt;&gt;C193,"geändert","")))</f>
        <v/>
      </c>
      <c r="F193" s="13"/>
      <c r="G193" s="13"/>
      <c r="H193" s="47" t="s">
        <v>15</v>
      </c>
      <c r="I193" s="7"/>
      <c r="J193" s="116">
        <v>1</v>
      </c>
      <c r="K193" s="1"/>
      <c r="L193" s="1"/>
      <c r="M193" s="1"/>
      <c r="N193" s="1"/>
      <c r="O193" s="1"/>
      <c r="P193" s="1"/>
      <c r="Q193" s="1"/>
      <c r="R193" s="74">
        <v>1</v>
      </c>
      <c r="S193" s="10"/>
      <c r="T193" s="10"/>
      <c r="U193" s="10"/>
      <c r="V193" s="10"/>
      <c r="W193" s="10"/>
      <c r="X193" s="69">
        <v>1</v>
      </c>
      <c r="Y193" s="10"/>
      <c r="Z193" s="10"/>
      <c r="AA193" s="10"/>
      <c r="AB193" s="10"/>
      <c r="AC193" s="10"/>
      <c r="AD193" s="10"/>
      <c r="AE193" s="75"/>
      <c r="AF193" s="8"/>
      <c r="AG193" s="2">
        <f t="shared" si="6"/>
        <v>1</v>
      </c>
      <c r="AH193" s="78">
        <f t="shared" si="7"/>
        <v>6</v>
      </c>
    </row>
    <row r="194" spans="1:34" s="9" customFormat="1" x14ac:dyDescent="0.45">
      <c r="A194" s="39" t="s">
        <v>478</v>
      </c>
      <c r="B194" s="13"/>
      <c r="C194" s="39" t="s">
        <v>478</v>
      </c>
      <c r="D194" s="16"/>
      <c r="E194" s="13" t="str">
        <f>IF(ISBLANK(A194),"neu",IF(ISBLANK(C194),"weg",IF(A194&lt;&gt;C194,"geändert","")))</f>
        <v/>
      </c>
      <c r="F194" s="13"/>
      <c r="G194" s="13"/>
      <c r="H194" s="47" t="s">
        <v>15</v>
      </c>
      <c r="I194" s="7"/>
      <c r="J194" s="116">
        <v>1</v>
      </c>
      <c r="K194" s="1"/>
      <c r="L194" s="1"/>
      <c r="M194" s="1"/>
      <c r="N194" s="1"/>
      <c r="O194" s="1"/>
      <c r="P194" s="1"/>
      <c r="Q194" s="1"/>
      <c r="R194" s="74">
        <v>1</v>
      </c>
      <c r="S194" s="10"/>
      <c r="T194" s="10"/>
      <c r="U194" s="10"/>
      <c r="V194" s="10"/>
      <c r="W194" s="10"/>
      <c r="X194" s="69">
        <v>1</v>
      </c>
      <c r="Y194" s="10"/>
      <c r="Z194" s="10"/>
      <c r="AA194" s="10"/>
      <c r="AB194" s="10"/>
      <c r="AC194" s="10"/>
      <c r="AD194" s="10"/>
      <c r="AE194" s="75"/>
      <c r="AF194" s="8"/>
      <c r="AG194" s="2">
        <f t="shared" si="6"/>
        <v>1</v>
      </c>
      <c r="AH194" s="78">
        <f t="shared" si="7"/>
        <v>6</v>
      </c>
    </row>
    <row r="195" spans="1:34" s="9" customFormat="1" x14ac:dyDescent="0.45">
      <c r="A195" s="39" t="s">
        <v>479</v>
      </c>
      <c r="B195" s="13"/>
      <c r="C195" s="39" t="s">
        <v>479</v>
      </c>
      <c r="D195" s="16"/>
      <c r="E195" s="13" t="str">
        <f>IF(ISBLANK(A195),"neu",IF(ISBLANK(C195),"weg",IF(A195&lt;&gt;C195,"geändert","")))</f>
        <v/>
      </c>
      <c r="F195" s="13"/>
      <c r="G195" s="13"/>
      <c r="H195" s="47" t="s">
        <v>15</v>
      </c>
      <c r="I195" s="7"/>
      <c r="J195" s="116">
        <v>1</v>
      </c>
      <c r="K195" s="1"/>
      <c r="L195" s="1"/>
      <c r="M195" s="1"/>
      <c r="N195" s="1"/>
      <c r="O195" s="1"/>
      <c r="P195" s="1"/>
      <c r="Q195" s="1"/>
      <c r="R195" s="74">
        <v>1</v>
      </c>
      <c r="S195" s="10"/>
      <c r="T195" s="10"/>
      <c r="U195" s="10"/>
      <c r="V195" s="10"/>
      <c r="W195" s="10"/>
      <c r="X195" s="69">
        <v>1</v>
      </c>
      <c r="Y195" s="10"/>
      <c r="Z195" s="10"/>
      <c r="AA195" s="10"/>
      <c r="AB195" s="10"/>
      <c r="AC195" s="10"/>
      <c r="AD195" s="10"/>
      <c r="AE195" s="75"/>
      <c r="AF195" s="8"/>
      <c r="AG195" s="2">
        <f t="shared" si="6"/>
        <v>1</v>
      </c>
      <c r="AH195" s="78">
        <f t="shared" si="7"/>
        <v>6</v>
      </c>
    </row>
    <row r="196" spans="1:34" s="9" customFormat="1" x14ac:dyDescent="0.45">
      <c r="A196" s="39" t="s">
        <v>480</v>
      </c>
      <c r="B196" s="13"/>
      <c r="C196" s="39" t="s">
        <v>480</v>
      </c>
      <c r="D196" s="16"/>
      <c r="E196" s="13" t="str">
        <f>IF(ISBLANK(A196),"neu",IF(ISBLANK(C196),"weg",IF(A196&lt;&gt;C196,"geändert","")))</f>
        <v/>
      </c>
      <c r="F196" s="13"/>
      <c r="G196" s="13"/>
      <c r="H196" s="47" t="s">
        <v>15</v>
      </c>
      <c r="I196" s="7"/>
      <c r="J196" s="116">
        <v>1</v>
      </c>
      <c r="K196" s="1"/>
      <c r="L196" s="1"/>
      <c r="M196" s="1"/>
      <c r="N196" s="1"/>
      <c r="O196" s="1"/>
      <c r="P196" s="1"/>
      <c r="Q196" s="1"/>
      <c r="R196" s="74">
        <v>1</v>
      </c>
      <c r="S196" s="10"/>
      <c r="T196" s="10"/>
      <c r="U196" s="10"/>
      <c r="V196" s="10"/>
      <c r="W196" s="10"/>
      <c r="X196" s="69">
        <v>1</v>
      </c>
      <c r="Y196" s="10"/>
      <c r="Z196" s="10"/>
      <c r="AA196" s="10"/>
      <c r="AB196" s="10"/>
      <c r="AC196" s="10"/>
      <c r="AD196" s="10"/>
      <c r="AE196" s="75"/>
      <c r="AF196" s="8"/>
      <c r="AG196" s="2">
        <f t="shared" si="6"/>
        <v>1</v>
      </c>
      <c r="AH196" s="78">
        <f t="shared" si="7"/>
        <v>6</v>
      </c>
    </row>
    <row r="197" spans="1:34" s="9" customFormat="1" x14ac:dyDescent="0.45">
      <c r="A197" s="16" t="s">
        <v>287</v>
      </c>
      <c r="B197" s="13"/>
      <c r="C197" s="16" t="s">
        <v>287</v>
      </c>
      <c r="D197" s="16"/>
      <c r="E197" s="13" t="str">
        <f>IF(ISBLANK(A197),"neu",IF(ISBLANK(C197),"weg",IF(A197&lt;&gt;C197,"geändert","")))</f>
        <v/>
      </c>
      <c r="F197" s="13"/>
      <c r="G197" s="13"/>
      <c r="H197" s="13" t="s">
        <v>13</v>
      </c>
      <c r="I197" s="7"/>
      <c r="J197" s="1">
        <v>1</v>
      </c>
      <c r="K197" s="1"/>
      <c r="L197" s="1"/>
      <c r="M197" s="1"/>
      <c r="N197" s="1"/>
      <c r="O197" s="1"/>
      <c r="P197" s="1"/>
      <c r="Q197" s="1"/>
      <c r="R197" s="74">
        <v>1</v>
      </c>
      <c r="S197" s="10"/>
      <c r="T197" s="10"/>
      <c r="U197" s="69">
        <v>1</v>
      </c>
      <c r="V197" s="10"/>
      <c r="W197" s="10"/>
      <c r="Y197" s="10"/>
      <c r="Z197" s="10"/>
      <c r="AA197" s="10"/>
      <c r="AB197" s="10"/>
      <c r="AC197" s="10"/>
      <c r="AD197" s="10"/>
      <c r="AE197" s="75"/>
      <c r="AF197" s="8"/>
      <c r="AG197" s="2">
        <f t="shared" si="6"/>
        <v>1</v>
      </c>
      <c r="AH197" s="78">
        <f t="shared" si="7"/>
        <v>3</v>
      </c>
    </row>
    <row r="198" spans="1:34" s="9" customFormat="1" x14ac:dyDescent="0.45">
      <c r="A198" s="16" t="s">
        <v>288</v>
      </c>
      <c r="B198" s="13"/>
      <c r="C198" s="16" t="s">
        <v>288</v>
      </c>
      <c r="D198" s="16"/>
      <c r="E198" s="13" t="str">
        <f>IF(ISBLANK(A198),"neu",IF(ISBLANK(C198),"weg",IF(A198&lt;&gt;C198,"geändert","")))</f>
        <v/>
      </c>
      <c r="F198" s="13"/>
      <c r="G198" s="13"/>
      <c r="H198" s="13" t="s">
        <v>13</v>
      </c>
      <c r="I198" s="7"/>
      <c r="J198" s="1">
        <v>1</v>
      </c>
      <c r="K198" s="1"/>
      <c r="L198" s="1"/>
      <c r="M198" s="1"/>
      <c r="N198" s="1"/>
      <c r="O198" s="1"/>
      <c r="P198" s="1"/>
      <c r="Q198" s="1"/>
      <c r="R198" s="74">
        <v>1</v>
      </c>
      <c r="S198" s="10"/>
      <c r="T198" s="10"/>
      <c r="U198" s="69">
        <v>1</v>
      </c>
      <c r="V198" s="10"/>
      <c r="W198" s="10"/>
      <c r="Y198" s="10"/>
      <c r="Z198" s="10"/>
      <c r="AA198" s="10"/>
      <c r="AB198" s="10"/>
      <c r="AC198" s="10"/>
      <c r="AD198" s="10"/>
      <c r="AE198" s="75"/>
      <c r="AF198" s="8"/>
      <c r="AG198" s="2">
        <f t="shared" si="6"/>
        <v>1</v>
      </c>
      <c r="AH198" s="78">
        <f t="shared" si="7"/>
        <v>3</v>
      </c>
    </row>
    <row r="199" spans="1:34" s="9" customFormat="1" x14ac:dyDescent="0.45">
      <c r="A199" s="16" t="s">
        <v>289</v>
      </c>
      <c r="B199" s="13"/>
      <c r="C199" s="16" t="s">
        <v>289</v>
      </c>
      <c r="D199" s="16"/>
      <c r="E199" s="13" t="str">
        <f>IF(ISBLANK(A199),"neu",IF(ISBLANK(C199),"weg",IF(A199&lt;&gt;C199,"geändert","")))</f>
        <v/>
      </c>
      <c r="F199" s="13"/>
      <c r="G199" s="13"/>
      <c r="H199" s="13" t="s">
        <v>14</v>
      </c>
      <c r="I199" s="7"/>
      <c r="J199" s="1">
        <v>1</v>
      </c>
      <c r="K199" s="1"/>
      <c r="L199" s="1">
        <v>1</v>
      </c>
      <c r="M199" s="1"/>
      <c r="N199" s="1"/>
      <c r="O199" s="1"/>
      <c r="P199" s="1"/>
      <c r="Q199" s="1"/>
      <c r="R199" s="74">
        <v>1</v>
      </c>
      <c r="S199" s="10"/>
      <c r="T199" s="69">
        <v>1</v>
      </c>
      <c r="U199" s="10"/>
      <c r="V199" s="10"/>
      <c r="W199" s="10"/>
      <c r="Y199" s="10"/>
      <c r="Z199" s="10"/>
      <c r="AA199" s="10"/>
      <c r="AB199" s="10"/>
      <c r="AC199" s="10"/>
      <c r="AD199" s="10"/>
      <c r="AE199" s="75"/>
      <c r="AF199" s="8"/>
      <c r="AG199" s="2">
        <f t="shared" si="6"/>
        <v>1</v>
      </c>
      <c r="AH199" s="78">
        <f t="shared" si="7"/>
        <v>2</v>
      </c>
    </row>
    <row r="200" spans="1:34" s="9" customFormat="1" x14ac:dyDescent="0.45">
      <c r="A200" s="16" t="s">
        <v>290</v>
      </c>
      <c r="B200" s="13"/>
      <c r="C200" s="16" t="s">
        <v>290</v>
      </c>
      <c r="D200" s="16"/>
      <c r="E200" s="13" t="str">
        <f>IF(ISBLANK(A200),"neu",IF(ISBLANK(C200),"weg",IF(A200&lt;&gt;C200,"geändert","")))</f>
        <v/>
      </c>
      <c r="F200" s="13"/>
      <c r="G200" s="13"/>
      <c r="H200" s="13" t="s">
        <v>14</v>
      </c>
      <c r="I200" s="7"/>
      <c r="J200" s="1">
        <v>1</v>
      </c>
      <c r="K200" s="1"/>
      <c r="L200" s="1">
        <v>1</v>
      </c>
      <c r="M200" s="1"/>
      <c r="N200" s="1"/>
      <c r="O200" s="1"/>
      <c r="P200" s="1"/>
      <c r="Q200" s="1"/>
      <c r="R200" s="74">
        <v>1</v>
      </c>
      <c r="S200" s="10"/>
      <c r="T200" s="69">
        <v>1</v>
      </c>
      <c r="U200" s="10"/>
      <c r="V200" s="10"/>
      <c r="W200" s="10"/>
      <c r="Y200" s="10"/>
      <c r="Z200" s="10"/>
      <c r="AA200" s="10"/>
      <c r="AB200" s="10"/>
      <c r="AC200" s="10"/>
      <c r="AD200" s="10"/>
      <c r="AE200" s="75"/>
      <c r="AF200" s="8"/>
      <c r="AG200" s="2">
        <f t="shared" si="6"/>
        <v>1</v>
      </c>
      <c r="AH200" s="78">
        <f t="shared" si="7"/>
        <v>2</v>
      </c>
    </row>
    <row r="201" spans="1:34" s="9" customFormat="1" x14ac:dyDescent="0.45">
      <c r="A201" s="39" t="s">
        <v>481</v>
      </c>
      <c r="B201" s="13"/>
      <c r="C201" s="39" t="s">
        <v>481</v>
      </c>
      <c r="D201" s="16"/>
      <c r="E201" s="13" t="str">
        <f>IF(ISBLANK(A201),"neu",IF(ISBLANK(C201),"weg",IF(A201&lt;&gt;C201,"geändert","")))</f>
        <v/>
      </c>
      <c r="F201" s="13"/>
      <c r="G201" s="13"/>
      <c r="H201" s="47" t="s">
        <v>15</v>
      </c>
      <c r="I201" s="7"/>
      <c r="J201" s="116">
        <v>1</v>
      </c>
      <c r="K201" s="1"/>
      <c r="L201" s="1"/>
      <c r="M201" s="1"/>
      <c r="N201" s="1"/>
      <c r="O201" s="1"/>
      <c r="P201" s="1"/>
      <c r="Q201" s="1"/>
      <c r="R201" s="74">
        <v>1</v>
      </c>
      <c r="S201" s="10"/>
      <c r="T201" s="10"/>
      <c r="U201" s="69">
        <v>1</v>
      </c>
      <c r="V201" s="10"/>
      <c r="W201" s="10"/>
      <c r="Y201" s="10"/>
      <c r="Z201" s="10"/>
      <c r="AA201" s="10"/>
      <c r="AB201" s="10"/>
      <c r="AC201" s="10"/>
      <c r="AD201" s="10"/>
      <c r="AE201" s="75"/>
      <c r="AF201" s="8"/>
      <c r="AG201" s="2">
        <f t="shared" si="6"/>
        <v>1</v>
      </c>
      <c r="AH201" s="78">
        <f t="shared" si="7"/>
        <v>3</v>
      </c>
    </row>
    <row r="202" spans="1:34" s="9" customFormat="1" x14ac:dyDescent="0.45">
      <c r="A202" s="16"/>
      <c r="B202" s="13"/>
      <c r="C202" s="20" t="s">
        <v>291</v>
      </c>
      <c r="D202" s="20"/>
      <c r="E202" s="13" t="str">
        <f>IF(ISBLANK(A202),"neu",IF(ISBLANK(C202),"weg",IF(A202&lt;&gt;C202,"geändert","")))</f>
        <v>neu</v>
      </c>
      <c r="F202" s="13"/>
      <c r="G202" s="13"/>
      <c r="H202" s="13" t="s">
        <v>13</v>
      </c>
      <c r="I202" s="7"/>
      <c r="J202" s="1">
        <v>1</v>
      </c>
      <c r="K202" s="1"/>
      <c r="L202" s="1"/>
      <c r="M202" s="1"/>
      <c r="N202" s="1"/>
      <c r="O202" s="1"/>
      <c r="P202" s="1"/>
      <c r="Q202" s="1"/>
      <c r="R202" s="74">
        <v>1</v>
      </c>
      <c r="S202" s="10"/>
      <c r="T202" s="69">
        <v>1</v>
      </c>
      <c r="U202" s="10"/>
      <c r="V202" s="10"/>
      <c r="W202" s="10"/>
      <c r="Y202" s="10"/>
      <c r="Z202" s="10"/>
      <c r="AA202" s="10"/>
      <c r="AB202" s="10"/>
      <c r="AC202" s="10"/>
      <c r="AD202" s="10"/>
      <c r="AE202" s="75"/>
      <c r="AF202" s="8"/>
      <c r="AG202" s="2">
        <f t="shared" si="6"/>
        <v>1</v>
      </c>
      <c r="AH202" s="78">
        <f t="shared" si="7"/>
        <v>2</v>
      </c>
    </row>
    <row r="203" spans="1:34" s="9" customFormat="1" x14ac:dyDescent="0.45">
      <c r="A203" s="16" t="s">
        <v>292</v>
      </c>
      <c r="B203" s="13"/>
      <c r="C203" s="16" t="s">
        <v>292</v>
      </c>
      <c r="D203" s="16"/>
      <c r="E203" s="13" t="str">
        <f>IF(ISBLANK(A203),"neu",IF(ISBLANK(C203),"weg",IF(A203&lt;&gt;C203,"geändert","")))</f>
        <v/>
      </c>
      <c r="F203" s="13"/>
      <c r="G203" s="13"/>
      <c r="H203" s="13" t="s">
        <v>13</v>
      </c>
      <c r="I203" s="7"/>
      <c r="J203" s="1">
        <v>1</v>
      </c>
      <c r="K203" s="1"/>
      <c r="L203" s="1"/>
      <c r="M203" s="1"/>
      <c r="N203" s="1"/>
      <c r="O203" s="1"/>
      <c r="P203" s="1"/>
      <c r="Q203" s="1"/>
      <c r="R203" s="74">
        <v>1</v>
      </c>
      <c r="S203" s="10"/>
      <c r="T203" s="10"/>
      <c r="U203" s="10"/>
      <c r="V203" s="10"/>
      <c r="W203" s="10"/>
      <c r="Y203" s="10"/>
      <c r="Z203" s="69">
        <v>1</v>
      </c>
      <c r="AA203" s="10"/>
      <c r="AB203" s="10"/>
      <c r="AC203" s="10"/>
      <c r="AD203" s="10"/>
      <c r="AE203" s="75"/>
      <c r="AF203" s="8"/>
      <c r="AG203" s="2">
        <f t="shared" si="6"/>
        <v>1</v>
      </c>
      <c r="AH203" s="78">
        <f t="shared" si="7"/>
        <v>8</v>
      </c>
    </row>
    <row r="204" spans="1:34" s="9" customFormat="1" x14ac:dyDescent="0.45">
      <c r="A204" s="16" t="s">
        <v>293</v>
      </c>
      <c r="B204" s="13"/>
      <c r="C204" s="16" t="s">
        <v>293</v>
      </c>
      <c r="D204" s="16"/>
      <c r="E204" s="13" t="str">
        <f>IF(ISBLANK(A204),"neu",IF(ISBLANK(C204),"weg",IF(A204&lt;&gt;C204,"geändert","")))</f>
        <v/>
      </c>
      <c r="F204" s="13"/>
      <c r="G204" s="13"/>
      <c r="H204" s="13" t="s">
        <v>13</v>
      </c>
      <c r="I204" s="7"/>
      <c r="J204" s="1">
        <v>1</v>
      </c>
      <c r="K204" s="1"/>
      <c r="L204" s="1"/>
      <c r="M204" s="1"/>
      <c r="N204" s="1"/>
      <c r="O204" s="1"/>
      <c r="P204" s="1"/>
      <c r="Q204" s="1"/>
      <c r="R204" s="74">
        <v>1</v>
      </c>
      <c r="S204" s="10"/>
      <c r="T204" s="10"/>
      <c r="U204" s="10"/>
      <c r="V204" s="10"/>
      <c r="W204" s="10"/>
      <c r="Y204" s="10"/>
      <c r="Z204" s="69">
        <v>1</v>
      </c>
      <c r="AA204" s="10"/>
      <c r="AB204" s="10"/>
      <c r="AC204" s="10"/>
      <c r="AD204" s="10"/>
      <c r="AE204" s="75"/>
      <c r="AF204" s="8"/>
      <c r="AG204" s="2">
        <f t="shared" si="6"/>
        <v>1</v>
      </c>
      <c r="AH204" s="78">
        <f t="shared" si="7"/>
        <v>8</v>
      </c>
    </row>
    <row r="205" spans="1:34" s="9" customFormat="1" x14ac:dyDescent="0.45">
      <c r="A205" s="16" t="s">
        <v>294</v>
      </c>
      <c r="B205" s="13"/>
      <c r="C205" s="16" t="s">
        <v>294</v>
      </c>
      <c r="D205" s="16"/>
      <c r="E205" s="13" t="str">
        <f>IF(ISBLANK(A205),"neu",IF(ISBLANK(C205),"weg",IF(A205&lt;&gt;C205,"geändert","")))</f>
        <v/>
      </c>
      <c r="F205" s="13"/>
      <c r="G205" s="13"/>
      <c r="H205" s="13" t="s">
        <v>14</v>
      </c>
      <c r="I205" s="7"/>
      <c r="J205" s="1">
        <v>1</v>
      </c>
      <c r="K205" s="1"/>
      <c r="L205" s="1"/>
      <c r="M205" s="1"/>
      <c r="N205" s="1"/>
      <c r="O205" s="1"/>
      <c r="P205" s="1"/>
      <c r="Q205" s="1"/>
      <c r="R205" s="74">
        <v>1</v>
      </c>
      <c r="S205" s="10"/>
      <c r="T205" s="10"/>
      <c r="U205" s="10"/>
      <c r="V205" s="10"/>
      <c r="W205" s="10"/>
      <c r="Y205" s="10"/>
      <c r="Z205" s="69">
        <v>1</v>
      </c>
      <c r="AA205" s="10"/>
      <c r="AB205" s="10"/>
      <c r="AC205" s="10"/>
      <c r="AD205" s="10"/>
      <c r="AE205" s="75"/>
      <c r="AF205" s="8"/>
      <c r="AG205" s="2">
        <f t="shared" si="6"/>
        <v>1</v>
      </c>
      <c r="AH205" s="78">
        <f t="shared" si="7"/>
        <v>8</v>
      </c>
    </row>
    <row r="206" spans="1:34" s="9" customFormat="1" x14ac:dyDescent="0.45">
      <c r="A206" s="16" t="s">
        <v>295</v>
      </c>
      <c r="B206" s="13"/>
      <c r="C206" s="16" t="s">
        <v>295</v>
      </c>
      <c r="D206" s="16"/>
      <c r="E206" s="13" t="str">
        <f>IF(ISBLANK(A206),"neu",IF(ISBLANK(C206),"weg",IF(A206&lt;&gt;C206,"geändert","")))</f>
        <v/>
      </c>
      <c r="F206" s="13"/>
      <c r="G206" s="13"/>
      <c r="H206" s="13" t="s">
        <v>14</v>
      </c>
      <c r="I206" s="7"/>
      <c r="J206" s="1">
        <v>1</v>
      </c>
      <c r="K206" s="1"/>
      <c r="L206" s="1">
        <v>1</v>
      </c>
      <c r="M206" s="1"/>
      <c r="N206" s="1">
        <v>1</v>
      </c>
      <c r="O206" s="1">
        <v>1</v>
      </c>
      <c r="P206" s="1">
        <v>1</v>
      </c>
      <c r="Q206" s="1"/>
      <c r="R206" s="74">
        <v>1</v>
      </c>
      <c r="S206" s="10"/>
      <c r="T206" s="10"/>
      <c r="U206" s="10"/>
      <c r="V206" s="10"/>
      <c r="W206" s="10"/>
      <c r="Y206" s="10"/>
      <c r="Z206" s="69">
        <v>1</v>
      </c>
      <c r="AA206" s="10"/>
      <c r="AB206" s="10"/>
      <c r="AC206" s="10"/>
      <c r="AD206" s="10"/>
      <c r="AE206" s="75"/>
      <c r="AF206" s="8"/>
      <c r="AG206" s="2">
        <f t="shared" si="6"/>
        <v>1</v>
      </c>
      <c r="AH206" s="78">
        <f t="shared" si="7"/>
        <v>8</v>
      </c>
    </row>
    <row r="207" spans="1:34" s="9" customFormat="1" x14ac:dyDescent="0.45">
      <c r="A207" s="39" t="s">
        <v>482</v>
      </c>
      <c r="B207" s="13"/>
      <c r="C207" s="39" t="s">
        <v>482</v>
      </c>
      <c r="D207" s="46"/>
      <c r="E207" s="13" t="str">
        <f>IF(ISBLANK(A207),"neu",IF(ISBLANK(C207),"weg",IF(A207&lt;&gt;C207,"geändert","")))</f>
        <v/>
      </c>
      <c r="F207" s="47"/>
      <c r="G207" s="47"/>
      <c r="H207" s="47" t="s">
        <v>15</v>
      </c>
      <c r="I207" s="7"/>
      <c r="J207" s="116">
        <v>1</v>
      </c>
      <c r="K207" s="1"/>
      <c r="L207" s="1"/>
      <c r="M207" s="1"/>
      <c r="N207" s="1"/>
      <c r="O207" s="1"/>
      <c r="P207" s="1"/>
      <c r="Q207" s="1"/>
      <c r="R207" s="74">
        <v>1</v>
      </c>
      <c r="S207" s="10"/>
      <c r="T207" s="10"/>
      <c r="U207" s="10"/>
      <c r="V207" s="10"/>
      <c r="W207" s="10"/>
      <c r="Y207" s="10"/>
      <c r="Z207" s="69">
        <v>1</v>
      </c>
      <c r="AA207" s="10"/>
      <c r="AB207" s="10"/>
      <c r="AC207" s="10"/>
      <c r="AD207" s="10"/>
      <c r="AE207" s="75"/>
      <c r="AF207" s="8"/>
      <c r="AG207" s="2">
        <f t="shared" si="6"/>
        <v>1</v>
      </c>
      <c r="AH207" s="78">
        <f t="shared" si="7"/>
        <v>8</v>
      </c>
    </row>
    <row r="208" spans="1:34" s="9" customFormat="1" x14ac:dyDescent="0.45">
      <c r="A208" s="39" t="s">
        <v>483</v>
      </c>
      <c r="B208" s="13"/>
      <c r="C208" s="39" t="s">
        <v>483</v>
      </c>
      <c r="D208" s="46"/>
      <c r="E208" s="13" t="str">
        <f>IF(ISBLANK(A208),"neu",IF(ISBLANK(C208),"weg",IF(A208&lt;&gt;C208,"geändert","")))</f>
        <v/>
      </c>
      <c r="F208" s="47"/>
      <c r="G208" s="47"/>
      <c r="H208" s="47" t="s">
        <v>15</v>
      </c>
      <c r="I208" s="7"/>
      <c r="J208" s="116">
        <v>1</v>
      </c>
      <c r="K208" s="1"/>
      <c r="L208" s="1">
        <v>1</v>
      </c>
      <c r="M208" s="1"/>
      <c r="N208" s="1">
        <v>1</v>
      </c>
      <c r="O208" s="1">
        <v>1</v>
      </c>
      <c r="P208" s="1">
        <v>1</v>
      </c>
      <c r="Q208" s="1"/>
      <c r="R208" s="74">
        <v>1</v>
      </c>
      <c r="S208" s="10"/>
      <c r="T208" s="10"/>
      <c r="U208" s="10"/>
      <c r="V208" s="10"/>
      <c r="W208" s="10"/>
      <c r="Y208" s="10"/>
      <c r="Z208" s="69">
        <v>1</v>
      </c>
      <c r="AA208" s="10"/>
      <c r="AB208" s="10"/>
      <c r="AC208" s="10"/>
      <c r="AD208" s="10"/>
      <c r="AE208" s="75"/>
      <c r="AF208" s="8"/>
      <c r="AG208" s="2">
        <f t="shared" si="6"/>
        <v>1</v>
      </c>
      <c r="AH208" s="78">
        <f t="shared" si="7"/>
        <v>8</v>
      </c>
    </row>
    <row r="209" spans="1:34" s="9" customFormat="1" x14ac:dyDescent="0.45">
      <c r="A209" s="16"/>
      <c r="B209" s="13"/>
      <c r="C209" s="20" t="s">
        <v>296</v>
      </c>
      <c r="D209" s="20"/>
      <c r="E209" s="13" t="str">
        <f>IF(ISBLANK(A209),"neu",IF(ISBLANK(C209),"weg",IF(A209&lt;&gt;C209,"geändert","")))</f>
        <v>neu</v>
      </c>
      <c r="F209" s="13"/>
      <c r="G209" s="13"/>
      <c r="H209" s="13" t="s">
        <v>13</v>
      </c>
      <c r="I209" s="7"/>
      <c r="J209" s="1">
        <v>1</v>
      </c>
      <c r="K209" s="1"/>
      <c r="L209" s="1">
        <v>1</v>
      </c>
      <c r="M209" s="1"/>
      <c r="N209" s="1">
        <v>1</v>
      </c>
      <c r="O209" s="1">
        <v>1</v>
      </c>
      <c r="P209" s="1">
        <v>1</v>
      </c>
      <c r="Q209" s="1"/>
      <c r="R209" s="74">
        <v>1</v>
      </c>
      <c r="S209" s="10"/>
      <c r="T209" s="10"/>
      <c r="U209" s="10"/>
      <c r="V209" s="10"/>
      <c r="W209" s="10"/>
      <c r="Y209" s="10"/>
      <c r="Z209" s="69">
        <v>1</v>
      </c>
      <c r="AA209" s="10"/>
      <c r="AB209" s="10"/>
      <c r="AC209" s="10"/>
      <c r="AD209" s="10"/>
      <c r="AE209" s="75"/>
      <c r="AF209" s="8"/>
      <c r="AG209" s="2">
        <f t="shared" si="6"/>
        <v>1</v>
      </c>
      <c r="AH209" s="78">
        <f t="shared" si="7"/>
        <v>8</v>
      </c>
    </row>
    <row r="210" spans="1:34" s="9" customFormat="1" x14ac:dyDescent="0.45">
      <c r="A210" s="16"/>
      <c r="B210" s="13"/>
      <c r="C210" s="20" t="s">
        <v>297</v>
      </c>
      <c r="D210" s="20"/>
      <c r="E210" s="13" t="str">
        <f>IF(ISBLANK(A210),"neu",IF(ISBLANK(C210),"weg",IF(A210&lt;&gt;C210,"geändert","")))</f>
        <v>neu</v>
      </c>
      <c r="F210" s="13"/>
      <c r="G210" s="13"/>
      <c r="H210" s="13" t="s">
        <v>14</v>
      </c>
      <c r="I210" s="7"/>
      <c r="J210" s="1">
        <v>1</v>
      </c>
      <c r="K210" s="1"/>
      <c r="L210" s="1">
        <v>1</v>
      </c>
      <c r="M210" s="1"/>
      <c r="N210" s="1">
        <v>1</v>
      </c>
      <c r="O210" s="1">
        <v>1</v>
      </c>
      <c r="P210" s="1">
        <v>1</v>
      </c>
      <c r="Q210" s="1"/>
      <c r="R210" s="74">
        <v>1</v>
      </c>
      <c r="S210" s="10"/>
      <c r="T210" s="10"/>
      <c r="U210" s="10"/>
      <c r="V210" s="10"/>
      <c r="W210" s="10"/>
      <c r="Y210" s="10"/>
      <c r="Z210" s="69">
        <v>1</v>
      </c>
      <c r="AA210" s="10"/>
      <c r="AB210" s="10"/>
      <c r="AC210" s="10"/>
      <c r="AD210" s="10"/>
      <c r="AE210" s="75"/>
      <c r="AF210" s="8"/>
      <c r="AG210" s="2">
        <f t="shared" si="6"/>
        <v>1</v>
      </c>
      <c r="AH210" s="78">
        <f t="shared" si="7"/>
        <v>8</v>
      </c>
    </row>
    <row r="211" spans="1:34" s="9" customFormat="1" x14ac:dyDescent="0.45">
      <c r="A211" s="16"/>
      <c r="B211" s="13"/>
      <c r="C211" s="39" t="s">
        <v>486</v>
      </c>
      <c r="D211" s="20"/>
      <c r="E211" s="13" t="str">
        <f>IF(ISBLANK(A211),"neu",IF(ISBLANK(C211),"weg",IF(A211&lt;&gt;C211,"geändert","")))</f>
        <v>neu</v>
      </c>
      <c r="F211" s="13"/>
      <c r="G211" s="13"/>
      <c r="H211" s="47" t="s">
        <v>15</v>
      </c>
      <c r="I211" s="7"/>
      <c r="J211" s="116">
        <v>1</v>
      </c>
      <c r="K211" s="1"/>
      <c r="L211" s="1">
        <v>1</v>
      </c>
      <c r="M211" s="1"/>
      <c r="N211" s="1">
        <v>1</v>
      </c>
      <c r="O211" s="1">
        <v>1</v>
      </c>
      <c r="P211" s="1">
        <v>1</v>
      </c>
      <c r="Q211" s="1"/>
      <c r="R211" s="74">
        <v>1</v>
      </c>
      <c r="S211" s="10"/>
      <c r="T211" s="10"/>
      <c r="U211" s="10"/>
      <c r="V211" s="10"/>
      <c r="W211" s="10"/>
      <c r="Y211" s="10"/>
      <c r="Z211" s="69">
        <v>1</v>
      </c>
      <c r="AA211" s="10"/>
      <c r="AB211" s="10"/>
      <c r="AC211" s="10"/>
      <c r="AD211" s="10"/>
      <c r="AE211" s="75"/>
      <c r="AF211" s="8"/>
      <c r="AG211" s="2">
        <f t="shared" si="6"/>
        <v>1</v>
      </c>
      <c r="AH211" s="78">
        <f t="shared" si="7"/>
        <v>8</v>
      </c>
    </row>
    <row r="212" spans="1:34" s="9" customFormat="1" x14ac:dyDescent="0.45">
      <c r="A212" s="16" t="s">
        <v>365</v>
      </c>
      <c r="B212" s="13"/>
      <c r="C212" s="17"/>
      <c r="D212" s="26" t="s">
        <v>442</v>
      </c>
      <c r="E212" s="13" t="str">
        <f>IF(ISBLANK(A212),"neu",IF(ISBLANK(C212),"weg",IF(A212&lt;&gt;C212,"geändert","")))</f>
        <v>weg</v>
      </c>
      <c r="F212" s="13"/>
      <c r="G212" s="13"/>
      <c r="H212"/>
      <c r="I212" s="7"/>
      <c r="J212" s="1"/>
      <c r="K212" s="1"/>
      <c r="L212" s="1"/>
      <c r="M212" s="1"/>
      <c r="N212" s="1"/>
      <c r="O212" s="1"/>
      <c r="P212" s="1"/>
      <c r="Q212" s="1"/>
      <c r="R212" s="74" t="s">
        <v>731</v>
      </c>
      <c r="S212" s="10"/>
      <c r="T212" s="10"/>
      <c r="U212" s="10"/>
      <c r="V212" s="10"/>
      <c r="W212" s="10"/>
      <c r="Y212" s="10"/>
      <c r="Z212" s="10"/>
      <c r="AA212" s="10"/>
      <c r="AB212" s="10"/>
      <c r="AC212" s="10"/>
      <c r="AD212" s="10"/>
      <c r="AE212" s="75"/>
      <c r="AF212" s="8"/>
      <c r="AG212" s="2" t="str">
        <f t="shared" si="6"/>
        <v/>
      </c>
      <c r="AH212" s="78" t="str">
        <f t="shared" si="7"/>
        <v/>
      </c>
    </row>
    <row r="213" spans="1:34" s="9" customFormat="1" x14ac:dyDescent="0.45">
      <c r="A213" s="16" t="s">
        <v>298</v>
      </c>
      <c r="B213" s="13"/>
      <c r="C213" s="16" t="s">
        <v>298</v>
      </c>
      <c r="D213" s="16"/>
      <c r="E213" s="13" t="str">
        <f>IF(ISBLANK(A213),"neu",IF(ISBLANK(C213),"weg",IF(A213&lt;&gt;C213,"geändert","")))</f>
        <v/>
      </c>
      <c r="F213" s="13"/>
      <c r="G213" s="13"/>
      <c r="H213" s="87" t="s">
        <v>13</v>
      </c>
      <c r="I213" s="7"/>
      <c r="J213" s="1">
        <v>1</v>
      </c>
      <c r="K213" s="1"/>
      <c r="L213" s="1">
        <v>1</v>
      </c>
      <c r="M213" s="1"/>
      <c r="N213" s="1">
        <v>1</v>
      </c>
      <c r="O213" s="1">
        <v>1</v>
      </c>
      <c r="P213" s="1">
        <v>1</v>
      </c>
      <c r="Q213" s="1">
        <v>1</v>
      </c>
      <c r="R213" s="74">
        <v>1</v>
      </c>
      <c r="S213" s="69">
        <v>1</v>
      </c>
      <c r="T213" s="10"/>
      <c r="U213" s="10"/>
      <c r="V213" s="10"/>
      <c r="W213" s="10"/>
      <c r="Y213" s="10"/>
      <c r="Z213" s="10"/>
      <c r="AA213" s="10"/>
      <c r="AB213" s="10"/>
      <c r="AC213" s="10"/>
      <c r="AD213" s="10"/>
      <c r="AE213" s="75"/>
      <c r="AF213" s="8"/>
      <c r="AG213" s="2">
        <f t="shared" si="6"/>
        <v>1</v>
      </c>
      <c r="AH213" s="78">
        <f t="shared" si="7"/>
        <v>1</v>
      </c>
    </row>
    <row r="214" spans="1:34" s="9" customFormat="1" x14ac:dyDescent="0.45">
      <c r="A214" s="16" t="s">
        <v>299</v>
      </c>
      <c r="B214" s="13"/>
      <c r="C214" s="16" t="s">
        <v>299</v>
      </c>
      <c r="D214" s="16"/>
      <c r="E214" s="13" t="str">
        <f>IF(ISBLANK(A214),"neu",IF(ISBLANK(C214),"weg",IF(A214&lt;&gt;C214,"geändert","")))</f>
        <v/>
      </c>
      <c r="F214" s="13"/>
      <c r="G214" s="13"/>
      <c r="H214" s="87" t="s">
        <v>14</v>
      </c>
      <c r="I214" s="7"/>
      <c r="J214" s="1">
        <v>1</v>
      </c>
      <c r="K214" s="1"/>
      <c r="L214" s="1">
        <v>1</v>
      </c>
      <c r="M214" s="1"/>
      <c r="N214" s="1">
        <v>1</v>
      </c>
      <c r="O214" s="1">
        <v>1</v>
      </c>
      <c r="P214" s="1">
        <v>1</v>
      </c>
      <c r="Q214" s="1">
        <v>1</v>
      </c>
      <c r="R214" s="74">
        <v>1</v>
      </c>
      <c r="S214" s="69">
        <v>1</v>
      </c>
      <c r="T214" s="10"/>
      <c r="U214" s="10"/>
      <c r="V214" s="10"/>
      <c r="W214" s="10"/>
      <c r="Y214" s="10"/>
      <c r="Z214" s="10"/>
      <c r="AA214" s="10"/>
      <c r="AB214" s="10"/>
      <c r="AC214" s="10"/>
      <c r="AD214" s="10"/>
      <c r="AE214" s="75"/>
      <c r="AF214" s="8"/>
      <c r="AG214" s="2">
        <f t="shared" si="6"/>
        <v>1</v>
      </c>
      <c r="AH214" s="78">
        <f t="shared" si="7"/>
        <v>1</v>
      </c>
    </row>
    <row r="215" spans="1:34" s="9" customFormat="1" x14ac:dyDescent="0.45">
      <c r="A215" s="16" t="s">
        <v>300</v>
      </c>
      <c r="B215" s="13"/>
      <c r="C215" s="16" t="s">
        <v>300</v>
      </c>
      <c r="D215" s="16"/>
      <c r="E215" s="13" t="str">
        <f>IF(ISBLANK(A215),"neu",IF(ISBLANK(C215),"weg",IF(A215&lt;&gt;C215,"geändert","")))</f>
        <v/>
      </c>
      <c r="F215" s="13"/>
      <c r="G215" s="13"/>
      <c r="H215" t="s">
        <v>11</v>
      </c>
      <c r="I215" s="7"/>
      <c r="J215" s="1">
        <v>1</v>
      </c>
      <c r="K215" s="1"/>
      <c r="L215" s="1"/>
      <c r="M215" s="1"/>
      <c r="N215" s="1"/>
      <c r="O215" s="1"/>
      <c r="P215" s="1"/>
      <c r="Q215" s="1"/>
      <c r="R215" s="74">
        <v>1</v>
      </c>
      <c r="S215" s="10"/>
      <c r="T215" s="10"/>
      <c r="U215" s="10"/>
      <c r="V215" s="10"/>
      <c r="W215" s="10"/>
      <c r="Y215" s="10"/>
      <c r="Z215" s="10"/>
      <c r="AA215" s="10"/>
      <c r="AB215" s="10"/>
      <c r="AC215" s="10"/>
      <c r="AD215" s="10"/>
      <c r="AE215" s="75"/>
      <c r="AF215" s="8"/>
      <c r="AG215" s="2" t="str">
        <f t="shared" si="6"/>
        <v/>
      </c>
      <c r="AH215" s="78" t="str">
        <f t="shared" si="7"/>
        <v/>
      </c>
    </row>
    <row r="216" spans="1:34" s="9" customFormat="1" x14ac:dyDescent="0.45">
      <c r="A216" s="16"/>
      <c r="B216" s="13"/>
      <c r="C216" s="29" t="s">
        <v>301</v>
      </c>
      <c r="D216" s="29"/>
      <c r="E216" s="13" t="str">
        <f>IF(ISBLANK(A216),"neu",IF(ISBLANK(C216),"weg",IF(A216&lt;&gt;C216,"geändert","")))</f>
        <v>neu</v>
      </c>
      <c r="F216" s="13"/>
      <c r="G216" s="13"/>
      <c r="H216" t="s">
        <v>11</v>
      </c>
      <c r="I216" s="7"/>
      <c r="J216" s="1">
        <v>1</v>
      </c>
      <c r="K216" s="1"/>
      <c r="L216" s="1"/>
      <c r="M216" s="1"/>
      <c r="N216" s="1"/>
      <c r="O216" s="1"/>
      <c r="P216" s="1"/>
      <c r="Q216" s="1"/>
      <c r="R216" s="74">
        <v>1</v>
      </c>
      <c r="S216" s="10"/>
      <c r="T216" s="10"/>
      <c r="U216" s="10"/>
      <c r="V216" s="10"/>
      <c r="W216" s="10"/>
      <c r="Y216" s="10"/>
      <c r="Z216" s="10"/>
      <c r="AA216" s="10"/>
      <c r="AB216" s="10"/>
      <c r="AC216" s="10"/>
      <c r="AD216" s="69">
        <v>1</v>
      </c>
      <c r="AE216" s="75"/>
      <c r="AF216" s="8"/>
      <c r="AG216" s="2">
        <f t="shared" si="6"/>
        <v>1</v>
      </c>
      <c r="AH216" s="78">
        <f t="shared" si="7"/>
        <v>12</v>
      </c>
    </row>
    <row r="217" spans="1:34" s="9" customFormat="1" x14ac:dyDescent="0.45">
      <c r="A217" s="16" t="s">
        <v>488</v>
      </c>
      <c r="B217" s="13"/>
      <c r="C217" s="16" t="s">
        <v>488</v>
      </c>
      <c r="D217" s="16"/>
      <c r="E217" s="13" t="str">
        <f>IF(ISBLANK(A217),"neu",IF(ISBLANK(C217),"weg",IF(A217&lt;&gt;C217,"geändert","")))</f>
        <v/>
      </c>
      <c r="F217" s="49" t="s">
        <v>645</v>
      </c>
      <c r="G217" s="49"/>
      <c r="H217" s="49" t="s">
        <v>13</v>
      </c>
      <c r="I217" s="50"/>
      <c r="J217" s="118">
        <v>1</v>
      </c>
      <c r="K217" s="119">
        <v>1</v>
      </c>
      <c r="L217" s="1">
        <v>1</v>
      </c>
      <c r="M217" s="119"/>
      <c r="N217" s="1">
        <v>1</v>
      </c>
      <c r="O217" s="1">
        <v>1</v>
      </c>
      <c r="P217" s="1">
        <v>1</v>
      </c>
      <c r="Q217" s="1"/>
      <c r="R217" s="74">
        <v>1</v>
      </c>
      <c r="S217" s="49"/>
      <c r="T217" s="49"/>
      <c r="U217" s="49"/>
      <c r="V217" s="51">
        <v>1</v>
      </c>
      <c r="W217" s="49"/>
      <c r="X217" s="49"/>
      <c r="Y217" s="49"/>
      <c r="Z217" s="49"/>
      <c r="AA217" s="49"/>
      <c r="AB217" s="49"/>
      <c r="AC217" s="49"/>
      <c r="AD217" s="49"/>
      <c r="AE217" s="49"/>
      <c r="AF217" s="50"/>
      <c r="AG217" s="2">
        <f t="shared" ref="AG217:AG227" si="8">IF(SUM(S217:AF217)&gt;0,SUM(S217:AF217),"")</f>
        <v>1</v>
      </c>
      <c r="AH217" s="78">
        <f t="shared" ref="AH217:AH227" si="9">IF(SUM(S217:AF217)&lt;1,"",S217*1+T217*2+U217*3+V217*4+W217*5+X217*6+Y217*7+Z217*8+AA217*9+AB217*10+AC217*11+AD217*12+AE217*13+AF217*14)</f>
        <v>4</v>
      </c>
    </row>
    <row r="218" spans="1:34" s="9" customFormat="1" x14ac:dyDescent="0.45">
      <c r="A218" s="16" t="s">
        <v>489</v>
      </c>
      <c r="B218" s="13"/>
      <c r="C218" s="16" t="s">
        <v>489</v>
      </c>
      <c r="D218" s="16"/>
      <c r="E218" s="13" t="str">
        <f>IF(ISBLANK(A218),"neu",IF(ISBLANK(C218),"weg",IF(A218&lt;&gt;C218,"geändert","")))</f>
        <v/>
      </c>
      <c r="F218" s="49" t="s">
        <v>646</v>
      </c>
      <c r="G218" s="49"/>
      <c r="H218" s="49" t="s">
        <v>13</v>
      </c>
      <c r="I218" s="50"/>
      <c r="J218" s="118">
        <v>1</v>
      </c>
      <c r="K218" s="119">
        <v>1</v>
      </c>
      <c r="L218" s="1">
        <v>1</v>
      </c>
      <c r="M218" s="119"/>
      <c r="N218" s="1">
        <v>1</v>
      </c>
      <c r="O218" s="1">
        <v>1</v>
      </c>
      <c r="P218" s="1">
        <v>1</v>
      </c>
      <c r="Q218" s="1"/>
      <c r="R218" s="74">
        <v>1</v>
      </c>
      <c r="S218" s="49"/>
      <c r="T218" s="49"/>
      <c r="U218" s="49"/>
      <c r="V218" s="49"/>
      <c r="W218" s="51">
        <v>1</v>
      </c>
      <c r="X218" s="49"/>
      <c r="Y218" s="49"/>
      <c r="Z218" s="49"/>
      <c r="AA218" s="49"/>
      <c r="AB218" s="49"/>
      <c r="AC218" s="49"/>
      <c r="AD218" s="49"/>
      <c r="AE218" s="49"/>
      <c r="AF218" s="50"/>
      <c r="AG218" s="2">
        <f t="shared" si="8"/>
        <v>1</v>
      </c>
      <c r="AH218" s="78">
        <f t="shared" si="9"/>
        <v>5</v>
      </c>
    </row>
    <row r="219" spans="1:34" s="9" customFormat="1" x14ac:dyDescent="0.45">
      <c r="A219" s="71" t="s">
        <v>598</v>
      </c>
      <c r="B219" s="13"/>
      <c r="C219" s="16" t="s">
        <v>490</v>
      </c>
      <c r="D219" s="16"/>
      <c r="E219" s="13" t="str">
        <f>IF(ISBLANK(A219),"neu",IF(ISBLANK(C219),"weg",IF(A219&lt;&gt;C219,"geändert","")))</f>
        <v>geändert</v>
      </c>
      <c r="F219" s="49" t="s">
        <v>647</v>
      </c>
      <c r="G219" s="49"/>
      <c r="H219" s="49" t="s">
        <v>13</v>
      </c>
      <c r="I219" s="50"/>
      <c r="J219" s="118">
        <v>1</v>
      </c>
      <c r="K219" s="119">
        <v>1</v>
      </c>
      <c r="L219" s="1">
        <v>1</v>
      </c>
      <c r="M219" s="119"/>
      <c r="N219" s="1">
        <v>1</v>
      </c>
      <c r="O219" s="1">
        <v>1</v>
      </c>
      <c r="P219" s="1">
        <v>1</v>
      </c>
      <c r="Q219" s="1"/>
      <c r="R219" s="74">
        <v>1</v>
      </c>
      <c r="S219" s="49"/>
      <c r="T219" s="49"/>
      <c r="U219" s="49"/>
      <c r="V219" s="49"/>
      <c r="W219" s="51">
        <v>1</v>
      </c>
      <c r="X219" s="49"/>
      <c r="Y219" s="49"/>
      <c r="Z219" s="49"/>
      <c r="AA219" s="49"/>
      <c r="AB219" s="49"/>
      <c r="AC219" s="49"/>
      <c r="AD219" s="49"/>
      <c r="AE219" s="49"/>
      <c r="AF219" s="50"/>
      <c r="AG219" s="2">
        <f t="shared" si="8"/>
        <v>1</v>
      </c>
      <c r="AH219" s="78">
        <f t="shared" si="9"/>
        <v>5</v>
      </c>
    </row>
    <row r="220" spans="1:34" s="9" customFormat="1" x14ac:dyDescent="0.45">
      <c r="A220" s="16" t="s">
        <v>491</v>
      </c>
      <c r="B220" s="13"/>
      <c r="C220" s="16" t="s">
        <v>491</v>
      </c>
      <c r="D220" s="16"/>
      <c r="E220" s="13" t="str">
        <f>IF(ISBLANK(A220),"neu",IF(ISBLANK(C220),"weg",IF(A220&lt;&gt;C220,"geändert","")))</f>
        <v/>
      </c>
      <c r="F220" s="49" t="s">
        <v>648</v>
      </c>
      <c r="G220" s="49"/>
      <c r="H220" s="49" t="s">
        <v>13</v>
      </c>
      <c r="I220" s="50"/>
      <c r="J220" s="118">
        <v>1</v>
      </c>
      <c r="K220" s="119">
        <v>1</v>
      </c>
      <c r="L220" s="1">
        <v>1</v>
      </c>
      <c r="M220" s="119"/>
      <c r="N220" s="1">
        <v>1</v>
      </c>
      <c r="O220" s="1">
        <v>1</v>
      </c>
      <c r="P220" s="1">
        <v>1</v>
      </c>
      <c r="Q220" s="1"/>
      <c r="R220" s="74">
        <v>1</v>
      </c>
      <c r="S220" s="49"/>
      <c r="T220" s="49"/>
      <c r="U220" s="49"/>
      <c r="V220" s="49"/>
      <c r="W220" s="51">
        <v>1</v>
      </c>
      <c r="X220" s="49"/>
      <c r="Y220" s="49"/>
      <c r="Z220" s="49"/>
      <c r="AA220" s="49"/>
      <c r="AB220" s="49"/>
      <c r="AC220" s="49"/>
      <c r="AD220" s="49"/>
      <c r="AE220" s="49"/>
      <c r="AF220" s="50"/>
      <c r="AG220" s="2">
        <f t="shared" si="8"/>
        <v>1</v>
      </c>
      <c r="AH220" s="78">
        <f t="shared" si="9"/>
        <v>5</v>
      </c>
    </row>
    <row r="221" spans="1:34" s="9" customFormat="1" x14ac:dyDescent="0.45">
      <c r="A221" s="77" t="s">
        <v>599</v>
      </c>
      <c r="B221" s="13"/>
      <c r="C221" s="52" t="s">
        <v>492</v>
      </c>
      <c r="D221" s="52"/>
      <c r="E221" s="13" t="str">
        <f>IF(ISBLANK(A221),"neu",IF(ISBLANK(C221),"weg",IF(A221&lt;&gt;C221,"geändert","")))</f>
        <v>geändert</v>
      </c>
      <c r="F221" s="53" t="s">
        <v>628</v>
      </c>
      <c r="G221" s="54" t="s">
        <v>493</v>
      </c>
      <c r="H221" s="49" t="s">
        <v>14</v>
      </c>
      <c r="I221" s="50"/>
      <c r="J221" s="116">
        <v>1</v>
      </c>
      <c r="K221" s="119"/>
      <c r="L221" s="1">
        <v>1</v>
      </c>
      <c r="M221" s="119"/>
      <c r="N221" s="1">
        <v>1</v>
      </c>
      <c r="O221" s="1">
        <v>1</v>
      </c>
      <c r="P221" s="1">
        <v>1</v>
      </c>
      <c r="Q221" s="1"/>
      <c r="R221" s="74">
        <v>1</v>
      </c>
      <c r="S221" s="49"/>
      <c r="T221" s="49"/>
      <c r="U221" s="49"/>
      <c r="V221" s="49"/>
      <c r="W221" s="51">
        <v>1</v>
      </c>
      <c r="X221" s="49"/>
      <c r="Y221" s="49"/>
      <c r="Z221" s="49"/>
      <c r="AA221" s="49"/>
      <c r="AB221" s="49"/>
      <c r="AC221" s="49"/>
      <c r="AD221" s="49"/>
      <c r="AE221" s="49"/>
      <c r="AF221" s="50"/>
      <c r="AG221" s="2">
        <f t="shared" si="8"/>
        <v>1</v>
      </c>
      <c r="AH221" s="78">
        <f t="shared" si="9"/>
        <v>5</v>
      </c>
    </row>
    <row r="222" spans="1:34" s="9" customFormat="1" x14ac:dyDescent="0.45">
      <c r="A222" s="16" t="s">
        <v>494</v>
      </c>
      <c r="B222" s="13"/>
      <c r="C222" s="16" t="s">
        <v>494</v>
      </c>
      <c r="D222" s="16"/>
      <c r="E222" s="13" t="str">
        <f>IF(ISBLANK(A222),"neu",IF(ISBLANK(C222),"weg",IF(A222&lt;&gt;C222,"geändert","")))</f>
        <v/>
      </c>
      <c r="F222" s="49" t="s">
        <v>629</v>
      </c>
      <c r="G222" s="49"/>
      <c r="H222" s="49" t="s">
        <v>14</v>
      </c>
      <c r="I222" s="50"/>
      <c r="J222" s="118">
        <v>1</v>
      </c>
      <c r="K222" s="119">
        <v>1</v>
      </c>
      <c r="L222" s="1">
        <v>1</v>
      </c>
      <c r="M222" s="119"/>
      <c r="N222" s="1">
        <v>1</v>
      </c>
      <c r="O222" s="1">
        <v>1</v>
      </c>
      <c r="P222" s="1">
        <v>1</v>
      </c>
      <c r="Q222" s="1"/>
      <c r="R222" s="74">
        <v>1</v>
      </c>
      <c r="S222" s="49"/>
      <c r="T222" s="49"/>
      <c r="U222" s="49"/>
      <c r="V222" s="49"/>
      <c r="W222" s="51">
        <v>1</v>
      </c>
      <c r="X222" s="49"/>
      <c r="Y222" s="49"/>
      <c r="Z222" s="49"/>
      <c r="AA222" s="49"/>
      <c r="AB222" s="49"/>
      <c r="AC222" s="49"/>
      <c r="AD222" s="49"/>
      <c r="AE222" s="49"/>
      <c r="AF222" s="50"/>
      <c r="AG222" s="2">
        <f t="shared" si="8"/>
        <v>1</v>
      </c>
      <c r="AH222" s="78">
        <f t="shared" si="9"/>
        <v>5</v>
      </c>
    </row>
    <row r="223" spans="1:34" s="9" customFormat="1" x14ac:dyDescent="0.45">
      <c r="A223" s="55" t="s">
        <v>495</v>
      </c>
      <c r="B223" s="13"/>
      <c r="C223" s="55" t="s">
        <v>495</v>
      </c>
      <c r="D223" s="55"/>
      <c r="E223" s="13" t="str">
        <f>IF(ISBLANK(A223),"neu",IF(ISBLANK(C223),"weg",IF(A223&lt;&gt;C223,"geändert","")))</f>
        <v/>
      </c>
      <c r="F223" s="49"/>
      <c r="G223" s="49"/>
      <c r="H223" s="39" t="s">
        <v>15</v>
      </c>
      <c r="I223" s="56"/>
      <c r="J223" s="116">
        <v>1</v>
      </c>
      <c r="K223" s="120"/>
      <c r="L223" s="1">
        <v>1</v>
      </c>
      <c r="M223" s="120"/>
      <c r="N223" s="1">
        <v>1</v>
      </c>
      <c r="O223" s="1">
        <v>1</v>
      </c>
      <c r="P223" s="1">
        <v>1</v>
      </c>
      <c r="Q223" s="1"/>
      <c r="R223" s="74">
        <v>1</v>
      </c>
      <c r="S223" s="49"/>
      <c r="T223" s="49"/>
      <c r="U223" s="49"/>
      <c r="V223" s="49"/>
      <c r="W223" s="57">
        <v>1</v>
      </c>
      <c r="X223" s="49"/>
      <c r="Y223" s="49"/>
      <c r="Z223" s="49"/>
      <c r="AA223" s="49"/>
      <c r="AB223" s="49"/>
      <c r="AC223" s="49"/>
      <c r="AD223" s="49"/>
      <c r="AE223" s="49"/>
      <c r="AF223" s="50"/>
      <c r="AG223" s="2">
        <f t="shared" si="8"/>
        <v>1</v>
      </c>
      <c r="AH223" s="78">
        <f t="shared" si="9"/>
        <v>5</v>
      </c>
    </row>
    <row r="224" spans="1:34" s="9" customFormat="1" x14ac:dyDescent="0.45">
      <c r="A224" s="39" t="s">
        <v>496</v>
      </c>
      <c r="B224" s="13"/>
      <c r="C224" s="39" t="s">
        <v>496</v>
      </c>
      <c r="D224" s="39"/>
      <c r="E224" s="13" t="str">
        <f>IF(ISBLANK(A224),"neu",IF(ISBLANK(C224),"weg",IF(A224&lt;&gt;C224,"geändert","")))</f>
        <v/>
      </c>
      <c r="F224" s="49"/>
      <c r="G224" s="49"/>
      <c r="H224" s="39" t="s">
        <v>15</v>
      </c>
      <c r="I224" s="56"/>
      <c r="J224" s="116">
        <v>1</v>
      </c>
      <c r="K224" s="120"/>
      <c r="L224" s="1">
        <v>1</v>
      </c>
      <c r="M224" s="120"/>
      <c r="N224" s="1">
        <v>1</v>
      </c>
      <c r="O224" s="1">
        <v>1</v>
      </c>
      <c r="P224" s="1">
        <v>1</v>
      </c>
      <c r="Q224" s="1"/>
      <c r="R224" s="74">
        <v>1</v>
      </c>
      <c r="S224" s="49"/>
      <c r="T224" s="49"/>
      <c r="U224" s="49"/>
      <c r="V224" s="49"/>
      <c r="W224" s="57">
        <v>1</v>
      </c>
      <c r="X224" s="49"/>
      <c r="Y224" s="49"/>
      <c r="Z224" s="49"/>
      <c r="AA224" s="49"/>
      <c r="AB224" s="49"/>
      <c r="AC224" s="49"/>
      <c r="AD224" s="49"/>
      <c r="AE224" s="49"/>
      <c r="AF224" s="50"/>
      <c r="AG224" s="2">
        <f t="shared" si="8"/>
        <v>1</v>
      </c>
      <c r="AH224" s="78">
        <f t="shared" si="9"/>
        <v>5</v>
      </c>
    </row>
    <row r="225" spans="1:34" s="9" customFormat="1" x14ac:dyDescent="0.45">
      <c r="A225" s="39" t="s">
        <v>497</v>
      </c>
      <c r="B225" s="13"/>
      <c r="C225" s="40" t="s">
        <v>497</v>
      </c>
      <c r="D225" s="40"/>
      <c r="E225" s="13" t="str">
        <f>IF(ISBLANK(A225),"neu",IF(ISBLANK(C225),"weg",IF(A225&lt;&gt;C225,"geändert","")))</f>
        <v/>
      </c>
      <c r="F225" s="49"/>
      <c r="G225" s="49"/>
      <c r="H225" s="39" t="s">
        <v>15</v>
      </c>
      <c r="I225" s="56"/>
      <c r="J225" s="116">
        <v>1</v>
      </c>
      <c r="K225" s="120"/>
      <c r="L225" s="1">
        <v>1</v>
      </c>
      <c r="M225" s="120"/>
      <c r="N225" s="1">
        <v>1</v>
      </c>
      <c r="O225" s="1">
        <v>1</v>
      </c>
      <c r="P225" s="1">
        <v>1</v>
      </c>
      <c r="Q225" s="1"/>
      <c r="R225" s="74">
        <v>1</v>
      </c>
      <c r="S225" s="49"/>
      <c r="T225" s="49"/>
      <c r="U225" s="49"/>
      <c r="V225" s="49"/>
      <c r="W225" s="57">
        <v>1</v>
      </c>
      <c r="X225" s="49"/>
      <c r="Y225" s="49"/>
      <c r="Z225" s="49"/>
      <c r="AA225" s="49"/>
      <c r="AB225" s="49"/>
      <c r="AC225" s="49"/>
      <c r="AD225" s="49"/>
      <c r="AE225" s="49"/>
      <c r="AF225" s="50"/>
      <c r="AG225" s="2">
        <f t="shared" si="8"/>
        <v>1</v>
      </c>
      <c r="AH225" s="78">
        <f t="shared" si="9"/>
        <v>5</v>
      </c>
    </row>
    <row r="226" spans="1:34" s="9" customFormat="1" x14ac:dyDescent="0.45">
      <c r="A226" s="40" t="s">
        <v>498</v>
      </c>
      <c r="B226" s="13"/>
      <c r="C226" s="40" t="s">
        <v>498</v>
      </c>
      <c r="D226" s="40"/>
      <c r="E226" s="13" t="str">
        <f>IF(ISBLANK(A226),"neu",IF(ISBLANK(C226),"weg",IF(A226&lt;&gt;C226,"geändert","")))</f>
        <v/>
      </c>
      <c r="F226" s="49"/>
      <c r="G226" s="49"/>
      <c r="H226" s="39" t="s">
        <v>15</v>
      </c>
      <c r="I226" s="56"/>
      <c r="J226" s="116">
        <v>1</v>
      </c>
      <c r="K226" s="120"/>
      <c r="L226" s="1">
        <v>1</v>
      </c>
      <c r="M226" s="120"/>
      <c r="N226" s="1">
        <v>1</v>
      </c>
      <c r="O226" s="1">
        <v>1</v>
      </c>
      <c r="P226" s="1">
        <v>1</v>
      </c>
      <c r="Q226" s="1"/>
      <c r="R226" s="74">
        <v>1</v>
      </c>
      <c r="S226" s="49"/>
      <c r="T226" s="49"/>
      <c r="U226" s="49"/>
      <c r="V226" s="49"/>
      <c r="W226" s="57">
        <v>1</v>
      </c>
      <c r="X226" s="49"/>
      <c r="Y226" s="49"/>
      <c r="Z226" s="49"/>
      <c r="AA226" s="49"/>
      <c r="AB226" s="49"/>
      <c r="AC226" s="49"/>
      <c r="AD226" s="49"/>
      <c r="AE226" s="49"/>
      <c r="AF226" s="50"/>
      <c r="AG226" s="2">
        <f t="shared" si="8"/>
        <v>1</v>
      </c>
      <c r="AH226" s="78">
        <f t="shared" si="9"/>
        <v>5</v>
      </c>
    </row>
    <row r="227" spans="1:34" s="9" customFormat="1" x14ac:dyDescent="0.45">
      <c r="A227" s="16" t="s">
        <v>499</v>
      </c>
      <c r="B227" s="13"/>
      <c r="C227" s="16" t="s">
        <v>499</v>
      </c>
      <c r="D227" s="16"/>
      <c r="E227" s="13" t="str">
        <f>IF(ISBLANK(A227),"neu",IF(ISBLANK(C227),"weg",IF(A227&lt;&gt;C227,"geändert","")))</f>
        <v/>
      </c>
      <c r="F227" s="81" t="s">
        <v>686</v>
      </c>
      <c r="G227" s="49"/>
      <c r="H227" s="49" t="s">
        <v>13</v>
      </c>
      <c r="I227" s="50"/>
      <c r="J227" s="118">
        <v>1</v>
      </c>
      <c r="K227" s="119">
        <v>1</v>
      </c>
      <c r="L227" s="1">
        <v>1</v>
      </c>
      <c r="M227" s="119"/>
      <c r="N227" s="1">
        <v>1</v>
      </c>
      <c r="O227" s="1">
        <v>1</v>
      </c>
      <c r="P227" s="1">
        <v>1</v>
      </c>
      <c r="Q227" s="1"/>
      <c r="R227" s="74">
        <v>1</v>
      </c>
      <c r="S227" s="51">
        <v>1</v>
      </c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50"/>
      <c r="AG227" s="2">
        <f t="shared" si="8"/>
        <v>1</v>
      </c>
      <c r="AH227" s="78">
        <f t="shared" si="9"/>
        <v>1</v>
      </c>
    </row>
    <row r="228" spans="1:34" s="9" customFormat="1" x14ac:dyDescent="0.45">
      <c r="A228" s="16" t="s">
        <v>500</v>
      </c>
      <c r="B228" s="13"/>
      <c r="C228" s="16" t="s">
        <v>500</v>
      </c>
      <c r="D228" s="16"/>
      <c r="E228" s="13" t="str">
        <f>IF(ISBLANK(A228),"neu",IF(ISBLANK(C228),"weg",IF(A228&lt;&gt;C228,"geändert","")))</f>
        <v/>
      </c>
      <c r="F228" s="49" t="s">
        <v>649</v>
      </c>
      <c r="G228" s="49"/>
      <c r="H228" s="49" t="s">
        <v>13</v>
      </c>
      <c r="I228" s="50"/>
      <c r="J228" s="118">
        <v>1</v>
      </c>
      <c r="K228" s="119">
        <v>1</v>
      </c>
      <c r="L228" s="1">
        <v>1</v>
      </c>
      <c r="M228" s="119"/>
      <c r="N228" s="1">
        <v>1</v>
      </c>
      <c r="O228" s="1">
        <v>1</v>
      </c>
      <c r="P228" s="1">
        <v>1</v>
      </c>
      <c r="Q228" s="1"/>
      <c r="R228" s="74">
        <v>1</v>
      </c>
      <c r="S228" s="51">
        <v>1</v>
      </c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50"/>
      <c r="AG228" s="2">
        <f t="shared" ref="AG228:AG291" si="10">IF(SUM(S228:AF228)&gt;0,SUM(S228:AF228),"")</f>
        <v>1</v>
      </c>
      <c r="AH228" s="78">
        <f t="shared" ref="AH228:AH291" si="11">IF(SUM(S228:AF228)&lt;1,"",S228*1+T228*2+U228*3+V228*4+W228*5+X228*6+Y228*7+Z228*8+AA228*9+AB228*10+AC228*11+AD228*12+AE228*13+AF228*14)</f>
        <v>1</v>
      </c>
    </row>
    <row r="229" spans="1:34" s="9" customFormat="1" x14ac:dyDescent="0.45">
      <c r="A229" s="16" t="s">
        <v>501</v>
      </c>
      <c r="B229" s="13"/>
      <c r="C229" s="16" t="s">
        <v>501</v>
      </c>
      <c r="D229" s="16"/>
      <c r="E229" s="13" t="str">
        <f>IF(ISBLANK(A229),"neu",IF(ISBLANK(C229),"weg",IF(A229&lt;&gt;C229,"geändert","")))</f>
        <v/>
      </c>
      <c r="F229" s="58" t="s">
        <v>650</v>
      </c>
      <c r="G229" s="58"/>
      <c r="H229" s="49" t="s">
        <v>13</v>
      </c>
      <c r="I229" s="50"/>
      <c r="J229" s="118">
        <v>1</v>
      </c>
      <c r="K229" s="119">
        <v>1</v>
      </c>
      <c r="L229" s="1">
        <v>1</v>
      </c>
      <c r="M229" s="119"/>
      <c r="N229" s="1">
        <v>1</v>
      </c>
      <c r="O229" s="1">
        <v>1</v>
      </c>
      <c r="P229" s="1">
        <v>1</v>
      </c>
      <c r="Q229" s="1"/>
      <c r="R229" s="74">
        <v>1</v>
      </c>
      <c r="S229" s="51">
        <v>1</v>
      </c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50"/>
      <c r="AG229" s="2">
        <f t="shared" si="10"/>
        <v>1</v>
      </c>
      <c r="AH229" s="78">
        <f t="shared" si="11"/>
        <v>1</v>
      </c>
    </row>
    <row r="230" spans="1:34" s="9" customFormat="1" x14ac:dyDescent="0.45">
      <c r="A230" s="16" t="s">
        <v>502</v>
      </c>
      <c r="B230" s="13"/>
      <c r="C230" s="16" t="s">
        <v>502</v>
      </c>
      <c r="D230" s="16"/>
      <c r="E230" s="13" t="str">
        <f>IF(ISBLANK(A230),"neu",IF(ISBLANK(C230),"weg",IF(A230&lt;&gt;C230,"geändert","")))</f>
        <v/>
      </c>
      <c r="F230" s="58" t="s">
        <v>630</v>
      </c>
      <c r="G230" s="59"/>
      <c r="H230" s="49" t="s">
        <v>14</v>
      </c>
      <c r="I230" s="50"/>
      <c r="J230" s="118">
        <v>1</v>
      </c>
      <c r="K230" s="119">
        <v>1</v>
      </c>
      <c r="L230" s="1">
        <v>1</v>
      </c>
      <c r="M230" s="119"/>
      <c r="N230" s="1">
        <v>1</v>
      </c>
      <c r="O230" s="1">
        <v>1</v>
      </c>
      <c r="P230" s="1">
        <v>1</v>
      </c>
      <c r="Q230" s="1"/>
      <c r="R230" s="74">
        <v>1</v>
      </c>
      <c r="S230" s="49"/>
      <c r="T230" s="49"/>
      <c r="U230" s="49"/>
      <c r="V230" s="49"/>
      <c r="W230" s="49"/>
      <c r="X230" s="49"/>
      <c r="Y230" s="49"/>
      <c r="Z230" s="49"/>
      <c r="AA230" s="51">
        <v>1</v>
      </c>
      <c r="AB230" s="49"/>
      <c r="AC230" s="49"/>
      <c r="AD230" s="49"/>
      <c r="AE230" s="49"/>
      <c r="AF230" s="50"/>
      <c r="AG230" s="2">
        <f t="shared" si="10"/>
        <v>1</v>
      </c>
      <c r="AH230" s="78">
        <f t="shared" si="11"/>
        <v>9</v>
      </c>
    </row>
    <row r="231" spans="1:34" s="9" customFormat="1" x14ac:dyDescent="0.45">
      <c r="A231" s="16" t="s">
        <v>503</v>
      </c>
      <c r="B231" s="13"/>
      <c r="C231" s="16" t="s">
        <v>503</v>
      </c>
      <c r="D231" s="16"/>
      <c r="E231" s="13" t="str">
        <f>IF(ISBLANK(A231),"neu",IF(ISBLANK(C231),"weg",IF(A231&lt;&gt;C231,"geändert","")))</f>
        <v/>
      </c>
      <c r="F231" s="49" t="s">
        <v>631</v>
      </c>
      <c r="G231" s="59"/>
      <c r="H231" s="49" t="s">
        <v>14</v>
      </c>
      <c r="I231" s="50"/>
      <c r="J231" s="118">
        <v>1</v>
      </c>
      <c r="K231" s="119">
        <v>1</v>
      </c>
      <c r="L231" s="1">
        <v>1</v>
      </c>
      <c r="M231" s="119"/>
      <c r="N231" s="1">
        <v>1</v>
      </c>
      <c r="O231" s="1">
        <v>1</v>
      </c>
      <c r="P231" s="1">
        <v>1</v>
      </c>
      <c r="Q231" s="1"/>
      <c r="R231" s="74">
        <v>1</v>
      </c>
      <c r="S231" s="49"/>
      <c r="T231" s="49"/>
      <c r="U231" s="49"/>
      <c r="V231" s="49"/>
      <c r="W231" s="49"/>
      <c r="X231" s="49"/>
      <c r="Y231" s="49"/>
      <c r="Z231" s="51">
        <v>1</v>
      </c>
      <c r="AA231" s="49"/>
      <c r="AB231" s="49"/>
      <c r="AC231" s="49"/>
      <c r="AD231" s="49"/>
      <c r="AE231" s="49"/>
      <c r="AF231" s="50"/>
      <c r="AG231" s="2">
        <f t="shared" si="10"/>
        <v>1</v>
      </c>
      <c r="AH231" s="78">
        <f t="shared" si="11"/>
        <v>8</v>
      </c>
    </row>
    <row r="232" spans="1:34" s="9" customFormat="1" x14ac:dyDescent="0.45">
      <c r="A232" s="40" t="s">
        <v>504</v>
      </c>
      <c r="B232" s="13"/>
      <c r="C232" s="40" t="s">
        <v>504</v>
      </c>
      <c r="D232" s="40"/>
      <c r="E232" s="13" t="str">
        <f>IF(ISBLANK(A232),"neu",IF(ISBLANK(C232),"weg",IF(A232&lt;&gt;C232,"geändert","")))</f>
        <v/>
      </c>
      <c r="F232" s="55" t="s">
        <v>605</v>
      </c>
      <c r="G232" s="55"/>
      <c r="H232" s="39" t="s">
        <v>15</v>
      </c>
      <c r="I232" s="56"/>
      <c r="J232" s="116">
        <v>1</v>
      </c>
      <c r="K232" s="120">
        <v>1</v>
      </c>
      <c r="L232" s="1">
        <v>1</v>
      </c>
      <c r="M232" s="120"/>
      <c r="N232" s="1">
        <v>1</v>
      </c>
      <c r="O232" s="1">
        <v>1</v>
      </c>
      <c r="P232" s="1">
        <v>1</v>
      </c>
      <c r="Q232" s="1"/>
      <c r="R232" s="74">
        <v>1</v>
      </c>
      <c r="S232" s="55"/>
      <c r="T232" s="55"/>
      <c r="U232" s="55"/>
      <c r="V232" s="55"/>
      <c r="W232" s="55"/>
      <c r="X232" s="55"/>
      <c r="Y232" s="55"/>
      <c r="Z232" s="60">
        <v>1</v>
      </c>
      <c r="AA232" s="55"/>
      <c r="AB232" s="55"/>
      <c r="AC232" s="55"/>
      <c r="AD232" s="55"/>
      <c r="AE232" s="55"/>
      <c r="AF232" s="61"/>
      <c r="AG232" s="2">
        <f t="shared" si="10"/>
        <v>1</v>
      </c>
      <c r="AH232" s="78">
        <f t="shared" si="11"/>
        <v>8</v>
      </c>
    </row>
    <row r="233" spans="1:34" s="9" customFormat="1" x14ac:dyDescent="0.45">
      <c r="A233" s="16" t="s">
        <v>505</v>
      </c>
      <c r="B233" s="13"/>
      <c r="C233" s="16" t="s">
        <v>505</v>
      </c>
      <c r="D233" s="16"/>
      <c r="E233" s="13" t="str">
        <f>IF(ISBLANK(A233),"neu",IF(ISBLANK(C233),"weg",IF(A233&lt;&gt;C233,"geändert","")))</f>
        <v/>
      </c>
      <c r="F233" s="49" t="s">
        <v>651</v>
      </c>
      <c r="G233" s="49"/>
      <c r="H233" s="49" t="s">
        <v>13</v>
      </c>
      <c r="I233" s="50"/>
      <c r="J233" s="118">
        <v>1</v>
      </c>
      <c r="K233" s="119">
        <v>1</v>
      </c>
      <c r="L233" s="1">
        <v>1</v>
      </c>
      <c r="M233" s="119"/>
      <c r="N233" s="1">
        <v>1</v>
      </c>
      <c r="O233" s="1">
        <v>1</v>
      </c>
      <c r="P233" s="1">
        <v>1</v>
      </c>
      <c r="Q233" s="1"/>
      <c r="R233" s="74">
        <v>1</v>
      </c>
      <c r="S233" s="49"/>
      <c r="T233" s="49"/>
      <c r="U233" s="49"/>
      <c r="V233" s="49"/>
      <c r="W233" s="49"/>
      <c r="X233" s="51">
        <v>1</v>
      </c>
      <c r="Y233" s="49"/>
      <c r="Z233" s="49"/>
      <c r="AA233" s="49"/>
      <c r="AB233" s="49"/>
      <c r="AC233" s="49"/>
      <c r="AD233" s="49"/>
      <c r="AE233" s="49"/>
      <c r="AF233" s="50"/>
      <c r="AG233" s="2">
        <f t="shared" si="10"/>
        <v>1</v>
      </c>
      <c r="AH233" s="78">
        <f t="shared" si="11"/>
        <v>6</v>
      </c>
    </row>
    <row r="234" spans="1:34" s="9" customFormat="1" x14ac:dyDescent="0.45">
      <c r="A234" s="16" t="s">
        <v>506</v>
      </c>
      <c r="B234" s="13"/>
      <c r="C234" s="16" t="s">
        <v>506</v>
      </c>
      <c r="D234" s="16"/>
      <c r="E234" s="13" t="str">
        <f>IF(ISBLANK(A234),"neu",IF(ISBLANK(C234),"weg",IF(A234&lt;&gt;C234,"geändert","")))</f>
        <v/>
      </c>
      <c r="F234" s="58" t="s">
        <v>652</v>
      </c>
      <c r="G234" s="58"/>
      <c r="H234" s="49" t="s">
        <v>13</v>
      </c>
      <c r="I234" s="50"/>
      <c r="J234" s="118">
        <v>1</v>
      </c>
      <c r="K234" s="119">
        <v>1</v>
      </c>
      <c r="L234" s="1">
        <v>1</v>
      </c>
      <c r="M234" s="119"/>
      <c r="N234" s="1">
        <v>1</v>
      </c>
      <c r="O234" s="1">
        <v>1</v>
      </c>
      <c r="P234" s="1">
        <v>1</v>
      </c>
      <c r="Q234" s="1"/>
      <c r="R234" s="74">
        <v>1</v>
      </c>
      <c r="S234" s="49"/>
      <c r="T234" s="49"/>
      <c r="U234" s="49"/>
      <c r="V234" s="49"/>
      <c r="W234" s="49"/>
      <c r="X234" s="49"/>
      <c r="Y234" s="51">
        <v>1</v>
      </c>
      <c r="Z234" s="49"/>
      <c r="AA234" s="49"/>
      <c r="AB234" s="49"/>
      <c r="AC234" s="49"/>
      <c r="AD234" s="49"/>
      <c r="AE234" s="49"/>
      <c r="AF234" s="50"/>
      <c r="AG234" s="2">
        <f t="shared" si="10"/>
        <v>1</v>
      </c>
      <c r="AH234" s="78">
        <f t="shared" si="11"/>
        <v>7</v>
      </c>
    </row>
    <row r="235" spans="1:34" s="9" customFormat="1" x14ac:dyDescent="0.45">
      <c r="A235" s="16" t="s">
        <v>507</v>
      </c>
      <c r="B235" s="13"/>
      <c r="C235" s="16" t="s">
        <v>507</v>
      </c>
      <c r="D235" s="16"/>
      <c r="E235" s="13" t="str">
        <f>IF(ISBLANK(A235),"neu",IF(ISBLANK(C235),"weg",IF(A235&lt;&gt;C235,"geändert","")))</f>
        <v/>
      </c>
      <c r="F235" s="49" t="s">
        <v>632</v>
      </c>
      <c r="G235" s="49"/>
      <c r="H235" s="49" t="s">
        <v>14</v>
      </c>
      <c r="I235" s="50"/>
      <c r="J235" s="118">
        <v>1</v>
      </c>
      <c r="K235" s="119">
        <v>1</v>
      </c>
      <c r="L235" s="1">
        <v>1</v>
      </c>
      <c r="M235" s="119"/>
      <c r="N235" s="1">
        <v>1</v>
      </c>
      <c r="O235" s="1">
        <v>1</v>
      </c>
      <c r="P235" s="1">
        <v>1</v>
      </c>
      <c r="Q235" s="1"/>
      <c r="R235" s="74">
        <v>1</v>
      </c>
      <c r="S235" s="49"/>
      <c r="T235" s="49"/>
      <c r="U235" s="49"/>
      <c r="V235" s="49"/>
      <c r="W235" s="49"/>
      <c r="X235" s="51">
        <v>1</v>
      </c>
      <c r="Y235" s="49"/>
      <c r="Z235" s="49"/>
      <c r="AA235" s="49"/>
      <c r="AB235" s="49"/>
      <c r="AC235" s="49"/>
      <c r="AD235" s="49"/>
      <c r="AE235" s="49"/>
      <c r="AF235" s="50"/>
      <c r="AG235" s="2">
        <f t="shared" si="10"/>
        <v>1</v>
      </c>
      <c r="AH235" s="78">
        <f t="shared" si="11"/>
        <v>6</v>
      </c>
    </row>
    <row r="236" spans="1:34" s="9" customFormat="1" x14ac:dyDescent="0.45">
      <c r="A236" s="16" t="s">
        <v>508</v>
      </c>
      <c r="B236" s="13"/>
      <c r="C236" s="16" t="s">
        <v>508</v>
      </c>
      <c r="D236" s="16"/>
      <c r="E236" s="13" t="str">
        <f>IF(ISBLANK(A236),"neu",IF(ISBLANK(C236),"weg",IF(A236&lt;&gt;C236,"geändert","")))</f>
        <v/>
      </c>
      <c r="F236" s="58" t="s">
        <v>633</v>
      </c>
      <c r="G236" s="58"/>
      <c r="H236" s="49" t="s">
        <v>14</v>
      </c>
      <c r="I236" s="50"/>
      <c r="J236" s="118">
        <v>1</v>
      </c>
      <c r="K236" s="119">
        <v>1</v>
      </c>
      <c r="L236" s="1">
        <v>1</v>
      </c>
      <c r="M236" s="119"/>
      <c r="N236" s="1">
        <v>1</v>
      </c>
      <c r="O236" s="1">
        <v>1</v>
      </c>
      <c r="P236" s="1">
        <v>1</v>
      </c>
      <c r="Q236" s="1"/>
      <c r="R236" s="74">
        <v>1</v>
      </c>
      <c r="S236" s="49"/>
      <c r="T236" s="49"/>
      <c r="U236" s="49"/>
      <c r="V236" s="49"/>
      <c r="W236" s="49"/>
      <c r="X236" s="51">
        <v>1</v>
      </c>
      <c r="Y236" s="49"/>
      <c r="Z236" s="49"/>
      <c r="AA236" s="49"/>
      <c r="AB236" s="49"/>
      <c r="AC236" s="49"/>
      <c r="AD236" s="49"/>
      <c r="AE236" s="49"/>
      <c r="AF236" s="50"/>
      <c r="AG236" s="2">
        <f t="shared" si="10"/>
        <v>1</v>
      </c>
      <c r="AH236" s="78">
        <f t="shared" si="11"/>
        <v>6</v>
      </c>
    </row>
    <row r="237" spans="1:34" s="9" customFormat="1" x14ac:dyDescent="0.45">
      <c r="A237" s="16" t="s">
        <v>509</v>
      </c>
      <c r="B237" s="13"/>
      <c r="C237" s="16" t="s">
        <v>509</v>
      </c>
      <c r="D237" s="16"/>
      <c r="E237" s="13" t="str">
        <f>IF(ISBLANK(A237),"neu",IF(ISBLANK(C237),"weg",IF(A237&lt;&gt;C237,"geändert","")))</f>
        <v/>
      </c>
      <c r="F237" s="58" t="s">
        <v>634</v>
      </c>
      <c r="G237" s="58"/>
      <c r="H237" s="49" t="s">
        <v>14</v>
      </c>
      <c r="I237" s="50"/>
      <c r="J237" s="118">
        <v>1</v>
      </c>
      <c r="K237" s="119">
        <v>1</v>
      </c>
      <c r="L237" s="1">
        <v>1</v>
      </c>
      <c r="M237" s="119"/>
      <c r="N237" s="1">
        <v>1</v>
      </c>
      <c r="O237" s="1">
        <v>1</v>
      </c>
      <c r="P237" s="1">
        <v>1</v>
      </c>
      <c r="Q237" s="1"/>
      <c r="R237" s="74">
        <v>1</v>
      </c>
      <c r="S237" s="49"/>
      <c r="T237" s="49"/>
      <c r="U237" s="49"/>
      <c r="V237" s="49"/>
      <c r="W237" s="49"/>
      <c r="X237" s="51">
        <v>1</v>
      </c>
      <c r="Y237" s="49"/>
      <c r="Z237" s="49"/>
      <c r="AA237" s="49"/>
      <c r="AB237" s="49"/>
      <c r="AC237" s="49"/>
      <c r="AD237" s="49"/>
      <c r="AE237" s="49"/>
      <c r="AF237" s="50"/>
      <c r="AG237" s="2">
        <f t="shared" si="10"/>
        <v>1</v>
      </c>
      <c r="AH237" s="78">
        <f t="shared" si="11"/>
        <v>6</v>
      </c>
    </row>
    <row r="238" spans="1:34" s="9" customFormat="1" x14ac:dyDescent="0.45">
      <c r="A238" s="39" t="s">
        <v>510</v>
      </c>
      <c r="B238" s="13"/>
      <c r="C238" s="39" t="s">
        <v>510</v>
      </c>
      <c r="D238" s="39"/>
      <c r="E238" s="13" t="str">
        <f>IF(ISBLANK(A238),"neu",IF(ISBLANK(C238),"weg",IF(A238&lt;&gt;C238,"geändert","")))</f>
        <v/>
      </c>
      <c r="F238" s="55" t="s">
        <v>606</v>
      </c>
      <c r="G238" s="55"/>
      <c r="H238" s="39" t="s">
        <v>15</v>
      </c>
      <c r="I238" s="56"/>
      <c r="J238" s="116">
        <v>1</v>
      </c>
      <c r="K238" s="120">
        <v>1</v>
      </c>
      <c r="L238" s="1">
        <v>1</v>
      </c>
      <c r="M238" s="120"/>
      <c r="N238" s="1">
        <v>1</v>
      </c>
      <c r="O238" s="1">
        <v>1</v>
      </c>
      <c r="P238" s="1">
        <v>1</v>
      </c>
      <c r="Q238" s="1"/>
      <c r="R238" s="74">
        <v>1</v>
      </c>
      <c r="S238" s="55"/>
      <c r="T238" s="55"/>
      <c r="U238" s="55"/>
      <c r="V238" s="55"/>
      <c r="W238" s="55"/>
      <c r="X238" s="60">
        <v>1</v>
      </c>
      <c r="Y238" s="55"/>
      <c r="Z238" s="55"/>
      <c r="AA238" s="55"/>
      <c r="AB238" s="55"/>
      <c r="AC238" s="55"/>
      <c r="AD238" s="55"/>
      <c r="AE238" s="55"/>
      <c r="AF238" s="61"/>
      <c r="AG238" s="2">
        <f t="shared" si="10"/>
        <v>1</v>
      </c>
      <c r="AH238" s="78">
        <f t="shared" si="11"/>
        <v>6</v>
      </c>
    </row>
    <row r="239" spans="1:34" s="9" customFormat="1" x14ac:dyDescent="0.45">
      <c r="A239" s="39" t="s">
        <v>511</v>
      </c>
      <c r="B239" s="13"/>
      <c r="C239" s="39" t="s">
        <v>511</v>
      </c>
      <c r="D239" s="39"/>
      <c r="E239" s="13" t="str">
        <f>IF(ISBLANK(A239),"neu",IF(ISBLANK(C239),"weg",IF(A239&lt;&gt;C239,"geändert","")))</f>
        <v/>
      </c>
      <c r="F239" s="55" t="s">
        <v>607</v>
      </c>
      <c r="G239" s="55"/>
      <c r="H239" s="39" t="s">
        <v>15</v>
      </c>
      <c r="I239" s="56"/>
      <c r="J239" s="116">
        <v>1</v>
      </c>
      <c r="K239" s="120">
        <v>1</v>
      </c>
      <c r="L239" s="1">
        <v>1</v>
      </c>
      <c r="M239" s="120"/>
      <c r="N239" s="1">
        <v>1</v>
      </c>
      <c r="O239" s="1">
        <v>1</v>
      </c>
      <c r="P239" s="1">
        <v>1</v>
      </c>
      <c r="Q239" s="1"/>
      <c r="R239" s="74">
        <v>1</v>
      </c>
      <c r="S239" s="55"/>
      <c r="T239" s="55"/>
      <c r="U239" s="55"/>
      <c r="V239" s="55"/>
      <c r="W239" s="60">
        <v>1</v>
      </c>
      <c r="X239" s="55"/>
      <c r="Y239" s="55"/>
      <c r="Z239" s="55"/>
      <c r="AA239" s="55"/>
      <c r="AB239" s="55"/>
      <c r="AC239" s="55"/>
      <c r="AD239" s="55"/>
      <c r="AE239" s="55"/>
      <c r="AF239" s="61"/>
      <c r="AG239" s="2">
        <f t="shared" si="10"/>
        <v>1</v>
      </c>
      <c r="AH239" s="78">
        <f t="shared" si="11"/>
        <v>5</v>
      </c>
    </row>
    <row r="240" spans="1:34" s="9" customFormat="1" x14ac:dyDescent="0.45">
      <c r="A240" s="39" t="s">
        <v>512</v>
      </c>
      <c r="B240" s="13"/>
      <c r="C240" s="39" t="s">
        <v>512</v>
      </c>
      <c r="D240" s="39"/>
      <c r="E240" s="13" t="str">
        <f>IF(ISBLANK(A240),"neu",IF(ISBLANK(C240),"weg",IF(A240&lt;&gt;C240,"geändert","")))</f>
        <v/>
      </c>
      <c r="F240" s="55" t="s">
        <v>608</v>
      </c>
      <c r="G240" s="55"/>
      <c r="H240" s="39" t="s">
        <v>15</v>
      </c>
      <c r="I240" s="56"/>
      <c r="J240" s="116">
        <v>1</v>
      </c>
      <c r="K240" s="120">
        <v>1</v>
      </c>
      <c r="L240" s="1">
        <v>1</v>
      </c>
      <c r="M240" s="120"/>
      <c r="N240" s="1">
        <v>1</v>
      </c>
      <c r="O240" s="1">
        <v>1</v>
      </c>
      <c r="P240" s="1">
        <v>1</v>
      </c>
      <c r="Q240" s="1"/>
      <c r="R240" s="74">
        <v>1</v>
      </c>
      <c r="S240" s="55"/>
      <c r="T240" s="55"/>
      <c r="U240" s="55"/>
      <c r="V240" s="55"/>
      <c r="W240" s="55"/>
      <c r="X240" s="60">
        <v>1</v>
      </c>
      <c r="Y240" s="55"/>
      <c r="Z240" s="55"/>
      <c r="AA240" s="55"/>
      <c r="AB240" s="55"/>
      <c r="AC240" s="55"/>
      <c r="AD240" s="55"/>
      <c r="AE240" s="55"/>
      <c r="AF240" s="61"/>
      <c r="AG240" s="2">
        <f t="shared" si="10"/>
        <v>1</v>
      </c>
      <c r="AH240" s="78">
        <f t="shared" si="11"/>
        <v>6</v>
      </c>
    </row>
    <row r="241" spans="1:34" s="9" customFormat="1" x14ac:dyDescent="0.45">
      <c r="A241" s="39" t="s">
        <v>513</v>
      </c>
      <c r="B241" s="13"/>
      <c r="C241" s="39" t="s">
        <v>513</v>
      </c>
      <c r="D241" s="39"/>
      <c r="E241" s="13" t="str">
        <f>IF(ISBLANK(A241),"neu",IF(ISBLANK(C241),"weg",IF(A241&lt;&gt;C241,"geändert","")))</f>
        <v/>
      </c>
      <c r="F241" s="55" t="s">
        <v>609</v>
      </c>
      <c r="G241" s="55"/>
      <c r="H241" s="39" t="s">
        <v>15</v>
      </c>
      <c r="I241" s="56"/>
      <c r="J241" s="116">
        <v>1</v>
      </c>
      <c r="K241" s="120">
        <v>1</v>
      </c>
      <c r="L241" s="1">
        <v>1</v>
      </c>
      <c r="M241" s="120"/>
      <c r="N241" s="1">
        <v>1</v>
      </c>
      <c r="O241" s="1">
        <v>1</v>
      </c>
      <c r="P241" s="1">
        <v>1</v>
      </c>
      <c r="Q241" s="1"/>
      <c r="R241" s="74">
        <v>1</v>
      </c>
      <c r="S241" s="55"/>
      <c r="T241" s="55"/>
      <c r="U241" s="55"/>
      <c r="V241" s="55"/>
      <c r="W241" s="55"/>
      <c r="X241" s="60">
        <v>1</v>
      </c>
      <c r="Y241" s="55"/>
      <c r="Z241" s="55"/>
      <c r="AA241" s="55"/>
      <c r="AB241" s="55"/>
      <c r="AC241" s="55"/>
      <c r="AD241" s="55"/>
      <c r="AE241" s="55"/>
      <c r="AF241" s="61"/>
      <c r="AG241" s="2">
        <f t="shared" si="10"/>
        <v>1</v>
      </c>
      <c r="AH241" s="78">
        <f t="shared" si="11"/>
        <v>6</v>
      </c>
    </row>
    <row r="242" spans="1:34" s="9" customFormat="1" x14ac:dyDescent="0.45">
      <c r="A242" s="16" t="s">
        <v>514</v>
      </c>
      <c r="B242" s="13"/>
      <c r="C242" s="16" t="s">
        <v>514</v>
      </c>
      <c r="D242" s="16"/>
      <c r="E242" s="13" t="str">
        <f>IF(ISBLANK(A242),"neu",IF(ISBLANK(C242),"weg",IF(A242&lt;&gt;C242,"geändert","")))</f>
        <v/>
      </c>
      <c r="F242" s="58" t="s">
        <v>635</v>
      </c>
      <c r="G242" s="59"/>
      <c r="H242" s="49" t="s">
        <v>14</v>
      </c>
      <c r="I242" s="50"/>
      <c r="J242" s="118">
        <v>1</v>
      </c>
      <c r="K242" s="119">
        <v>1</v>
      </c>
      <c r="L242" s="1">
        <v>1</v>
      </c>
      <c r="M242" s="119"/>
      <c r="N242" s="1">
        <v>1</v>
      </c>
      <c r="O242" s="1">
        <v>1</v>
      </c>
      <c r="P242" s="1">
        <v>1</v>
      </c>
      <c r="Q242" s="1"/>
      <c r="R242" s="74">
        <v>1</v>
      </c>
      <c r="S242" s="49"/>
      <c r="T242" s="49"/>
      <c r="U242" s="49"/>
      <c r="V242" s="49"/>
      <c r="W242" s="49"/>
      <c r="X242" s="51">
        <v>1</v>
      </c>
      <c r="Y242" s="49"/>
      <c r="Z242" s="49"/>
      <c r="AA242" s="49"/>
      <c r="AB242" s="49"/>
      <c r="AC242" s="49"/>
      <c r="AD242" s="49"/>
      <c r="AE242" s="49"/>
      <c r="AF242" s="50"/>
      <c r="AG242" s="2">
        <f t="shared" si="10"/>
        <v>1</v>
      </c>
      <c r="AH242" s="78">
        <f t="shared" si="11"/>
        <v>6</v>
      </c>
    </row>
    <row r="243" spans="1:34" s="9" customFormat="1" x14ac:dyDescent="0.45">
      <c r="A243" s="16" t="s">
        <v>515</v>
      </c>
      <c r="B243" s="13"/>
      <c r="C243" s="16" t="s">
        <v>515</v>
      </c>
      <c r="D243" s="16"/>
      <c r="E243" s="13" t="str">
        <f>IF(ISBLANK(A243),"neu",IF(ISBLANK(C243),"weg",IF(A243&lt;&gt;C243,"geändert","")))</f>
        <v/>
      </c>
      <c r="F243" s="49" t="s">
        <v>636</v>
      </c>
      <c r="G243" s="59"/>
      <c r="H243" s="49" t="s">
        <v>14</v>
      </c>
      <c r="I243" s="50"/>
      <c r="J243" s="118">
        <v>1</v>
      </c>
      <c r="K243" s="119">
        <v>1</v>
      </c>
      <c r="L243" s="1">
        <v>1</v>
      </c>
      <c r="M243" s="119"/>
      <c r="N243" s="1">
        <v>1</v>
      </c>
      <c r="O243" s="1">
        <v>1</v>
      </c>
      <c r="P243" s="1">
        <v>1</v>
      </c>
      <c r="Q243" s="1"/>
      <c r="R243" s="74">
        <v>1</v>
      </c>
      <c r="S243" s="49"/>
      <c r="T243" s="49"/>
      <c r="U243" s="49"/>
      <c r="V243" s="49"/>
      <c r="W243" s="49"/>
      <c r="X243" s="51">
        <v>1</v>
      </c>
      <c r="Y243" s="49"/>
      <c r="Z243" s="49"/>
      <c r="AA243" s="49"/>
      <c r="AB243" s="49"/>
      <c r="AC243" s="49"/>
      <c r="AD243" s="49"/>
      <c r="AE243" s="49"/>
      <c r="AF243" s="50"/>
      <c r="AG243" s="2">
        <f t="shared" si="10"/>
        <v>1</v>
      </c>
      <c r="AH243" s="78">
        <f t="shared" si="11"/>
        <v>6</v>
      </c>
    </row>
    <row r="244" spans="1:34" s="9" customFormat="1" x14ac:dyDescent="0.45">
      <c r="A244" s="16" t="s">
        <v>516</v>
      </c>
      <c r="B244" s="13"/>
      <c r="C244" s="16" t="s">
        <v>516</v>
      </c>
      <c r="D244" s="16"/>
      <c r="E244" s="13" t="str">
        <f>IF(ISBLANK(A244),"neu",IF(ISBLANK(C244),"weg",IF(A244&lt;&gt;C244,"geändert","")))</f>
        <v/>
      </c>
      <c r="F244" s="58" t="s">
        <v>637</v>
      </c>
      <c r="G244" s="59"/>
      <c r="H244" s="49" t="s">
        <v>14</v>
      </c>
      <c r="I244" s="50"/>
      <c r="J244" s="118">
        <v>1</v>
      </c>
      <c r="K244" s="119">
        <v>1</v>
      </c>
      <c r="L244" s="1">
        <v>1</v>
      </c>
      <c r="M244" s="119"/>
      <c r="N244" s="1">
        <v>1</v>
      </c>
      <c r="O244" s="1">
        <v>1</v>
      </c>
      <c r="P244" s="1">
        <v>1</v>
      </c>
      <c r="Q244" s="1"/>
      <c r="R244" s="74">
        <v>1</v>
      </c>
      <c r="S244" s="49"/>
      <c r="T244" s="49"/>
      <c r="U244" s="49"/>
      <c r="V244" s="49"/>
      <c r="W244" s="49"/>
      <c r="X244" s="51">
        <v>1</v>
      </c>
      <c r="Y244" s="49"/>
      <c r="Z244" s="49"/>
      <c r="AA244" s="49"/>
      <c r="AB244" s="49"/>
      <c r="AC244" s="49"/>
      <c r="AD244" s="49"/>
      <c r="AE244" s="49"/>
      <c r="AF244" s="50"/>
      <c r="AG244" s="2">
        <f t="shared" si="10"/>
        <v>1</v>
      </c>
      <c r="AH244" s="78">
        <f t="shared" si="11"/>
        <v>6</v>
      </c>
    </row>
    <row r="245" spans="1:34" s="9" customFormat="1" x14ac:dyDescent="0.45">
      <c r="A245" s="16" t="s">
        <v>517</v>
      </c>
      <c r="B245" s="13"/>
      <c r="C245" s="16" t="s">
        <v>517</v>
      </c>
      <c r="D245" s="16"/>
      <c r="E245" s="13" t="str">
        <f>IF(ISBLANK(A245),"neu",IF(ISBLANK(C245),"weg",IF(A245&lt;&gt;C245,"geändert","")))</f>
        <v/>
      </c>
      <c r="F245" s="58" t="s">
        <v>638</v>
      </c>
      <c r="G245" s="59"/>
      <c r="H245" s="49" t="s">
        <v>14</v>
      </c>
      <c r="I245" s="50"/>
      <c r="J245" s="118">
        <v>1</v>
      </c>
      <c r="K245" s="119">
        <v>1</v>
      </c>
      <c r="L245" s="1">
        <v>1</v>
      </c>
      <c r="M245" s="119"/>
      <c r="N245" s="1">
        <v>1</v>
      </c>
      <c r="O245" s="1">
        <v>1</v>
      </c>
      <c r="P245" s="1">
        <v>1</v>
      </c>
      <c r="Q245" s="1"/>
      <c r="R245" s="74">
        <v>1</v>
      </c>
      <c r="S245" s="49"/>
      <c r="T245" s="51">
        <v>1</v>
      </c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50"/>
      <c r="AG245" s="2">
        <f t="shared" si="10"/>
        <v>1</v>
      </c>
      <c r="AH245" s="78">
        <f t="shared" si="11"/>
        <v>2</v>
      </c>
    </row>
    <row r="246" spans="1:34" s="9" customFormat="1" x14ac:dyDescent="0.45">
      <c r="A246" s="16" t="s">
        <v>518</v>
      </c>
      <c r="B246" s="13"/>
      <c r="C246" s="16" t="s">
        <v>518</v>
      </c>
      <c r="D246" s="16"/>
      <c r="E246" s="13" t="str">
        <f>IF(ISBLANK(A246),"neu",IF(ISBLANK(C246),"weg",IF(A246&lt;&gt;C246,"geändert","")))</f>
        <v/>
      </c>
      <c r="F246" s="49" t="s">
        <v>653</v>
      </c>
      <c r="G246" s="49"/>
      <c r="H246" s="49" t="s">
        <v>13</v>
      </c>
      <c r="I246" s="50"/>
      <c r="J246" s="118">
        <v>1</v>
      </c>
      <c r="K246" s="119">
        <v>1</v>
      </c>
      <c r="L246" s="119">
        <v>1</v>
      </c>
      <c r="M246" s="119"/>
      <c r="N246" s="119">
        <v>1</v>
      </c>
      <c r="O246" s="119">
        <v>1</v>
      </c>
      <c r="P246" s="119">
        <v>1</v>
      </c>
      <c r="Q246" s="119"/>
      <c r="R246" s="74">
        <v>1</v>
      </c>
      <c r="S246" s="49"/>
      <c r="T246" s="49"/>
      <c r="U246" s="51">
        <v>1</v>
      </c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50"/>
      <c r="AG246" s="2">
        <f t="shared" si="10"/>
        <v>1</v>
      </c>
      <c r="AH246" s="78">
        <f t="shared" si="11"/>
        <v>3</v>
      </c>
    </row>
    <row r="247" spans="1:34" s="9" customFormat="1" x14ac:dyDescent="0.45">
      <c r="A247" s="16" t="s">
        <v>519</v>
      </c>
      <c r="B247" s="13"/>
      <c r="C247" s="16" t="s">
        <v>519</v>
      </c>
      <c r="D247" s="16"/>
      <c r="E247" s="13" t="str">
        <f>IF(ISBLANK(A247),"neu",IF(ISBLANK(C247),"weg",IF(A247&lt;&gt;C247,"geändert","")))</f>
        <v/>
      </c>
      <c r="F247" s="49" t="s">
        <v>654</v>
      </c>
      <c r="G247" s="49"/>
      <c r="H247" s="49" t="s">
        <v>13</v>
      </c>
      <c r="I247" s="50"/>
      <c r="J247" s="118">
        <v>1</v>
      </c>
      <c r="K247" s="119">
        <v>1</v>
      </c>
      <c r="L247" s="119">
        <v>1</v>
      </c>
      <c r="M247" s="119"/>
      <c r="N247" s="119">
        <v>1</v>
      </c>
      <c r="O247" s="119">
        <v>1</v>
      </c>
      <c r="P247" s="119">
        <v>1</v>
      </c>
      <c r="Q247" s="119"/>
      <c r="R247" s="74">
        <v>1</v>
      </c>
      <c r="S247" s="49"/>
      <c r="T247" s="49"/>
      <c r="U247" s="51">
        <v>1</v>
      </c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50"/>
      <c r="AG247" s="2">
        <f t="shared" si="10"/>
        <v>1</v>
      </c>
      <c r="AH247" s="78">
        <f t="shared" si="11"/>
        <v>3</v>
      </c>
    </row>
    <row r="248" spans="1:34" s="9" customFormat="1" x14ac:dyDescent="0.45">
      <c r="A248" s="39" t="s">
        <v>520</v>
      </c>
      <c r="B248" s="13"/>
      <c r="C248" s="39" t="s">
        <v>520</v>
      </c>
      <c r="D248" s="39"/>
      <c r="E248" s="13" t="str">
        <f>IF(ISBLANK(A248),"neu",IF(ISBLANK(C248),"weg",IF(A248&lt;&gt;C248,"geändert","")))</f>
        <v/>
      </c>
      <c r="F248" s="55" t="s">
        <v>610</v>
      </c>
      <c r="G248" s="55"/>
      <c r="H248" s="39" t="s">
        <v>15</v>
      </c>
      <c r="I248" s="56"/>
      <c r="J248" s="116">
        <v>1</v>
      </c>
      <c r="K248" s="120">
        <v>1</v>
      </c>
      <c r="L248" s="120">
        <v>1</v>
      </c>
      <c r="M248" s="120"/>
      <c r="N248" s="120">
        <v>1</v>
      </c>
      <c r="O248" s="120">
        <v>1</v>
      </c>
      <c r="P248" s="120">
        <v>1</v>
      </c>
      <c r="Q248" s="120"/>
      <c r="R248" s="74">
        <v>1</v>
      </c>
      <c r="S248" s="55"/>
      <c r="T248" s="55"/>
      <c r="U248" s="60">
        <v>1</v>
      </c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61"/>
      <c r="AG248" s="2">
        <f t="shared" si="10"/>
        <v>1</v>
      </c>
      <c r="AH248" s="78">
        <f t="shared" si="11"/>
        <v>3</v>
      </c>
    </row>
    <row r="249" spans="1:34" s="9" customFormat="1" x14ac:dyDescent="0.45">
      <c r="A249" s="16" t="s">
        <v>521</v>
      </c>
      <c r="B249" s="13"/>
      <c r="C249" s="16" t="s">
        <v>521</v>
      </c>
      <c r="D249" s="16"/>
      <c r="E249" s="13" t="str">
        <f>IF(ISBLANK(A249),"neu",IF(ISBLANK(C249),"weg",IF(A249&lt;&gt;C249,"geändert","")))</f>
        <v/>
      </c>
      <c r="F249" s="49" t="s">
        <v>655</v>
      </c>
      <c r="G249" s="59"/>
      <c r="H249" s="49" t="s">
        <v>13</v>
      </c>
      <c r="I249" s="50"/>
      <c r="J249" s="118">
        <v>1</v>
      </c>
      <c r="K249" s="119">
        <v>1</v>
      </c>
      <c r="L249" s="119">
        <v>1</v>
      </c>
      <c r="M249" s="119"/>
      <c r="N249" s="119">
        <v>1</v>
      </c>
      <c r="O249" s="119">
        <v>1</v>
      </c>
      <c r="P249" s="119">
        <v>1</v>
      </c>
      <c r="Q249" s="119"/>
      <c r="R249" s="74">
        <v>1</v>
      </c>
      <c r="S249" s="49"/>
      <c r="T249" s="49"/>
      <c r="U249" s="51">
        <v>1</v>
      </c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50"/>
      <c r="AG249" s="2">
        <f t="shared" si="10"/>
        <v>1</v>
      </c>
      <c r="AH249" s="78">
        <f t="shared" si="11"/>
        <v>3</v>
      </c>
    </row>
    <row r="250" spans="1:34" s="9" customFormat="1" x14ac:dyDescent="0.45">
      <c r="A250" s="16" t="s">
        <v>522</v>
      </c>
      <c r="B250" s="13"/>
      <c r="C250" s="16" t="s">
        <v>522</v>
      </c>
      <c r="D250" s="16"/>
      <c r="E250" s="13" t="str">
        <f>IF(ISBLANK(A250),"neu",IF(ISBLANK(C250),"weg",IF(A250&lt;&gt;C250,"geändert","")))</f>
        <v/>
      </c>
      <c r="F250" s="49" t="s">
        <v>656</v>
      </c>
      <c r="G250" s="49"/>
      <c r="H250" s="49" t="s">
        <v>13</v>
      </c>
      <c r="I250" s="50"/>
      <c r="J250" s="118">
        <v>1</v>
      </c>
      <c r="K250" s="119">
        <v>1</v>
      </c>
      <c r="L250" s="119">
        <v>1</v>
      </c>
      <c r="M250" s="119"/>
      <c r="N250" s="119">
        <v>1</v>
      </c>
      <c r="O250" s="119">
        <v>1</v>
      </c>
      <c r="P250" s="119">
        <v>1</v>
      </c>
      <c r="Q250" s="119"/>
      <c r="R250" s="74">
        <v>1</v>
      </c>
      <c r="S250" s="49"/>
      <c r="T250" s="49"/>
      <c r="U250" s="49"/>
      <c r="V250" s="49"/>
      <c r="W250" s="49"/>
      <c r="X250" s="49"/>
      <c r="Y250" s="51">
        <v>1</v>
      </c>
      <c r="Z250" s="49"/>
      <c r="AA250" s="49"/>
      <c r="AB250" s="49"/>
      <c r="AC250" s="49"/>
      <c r="AD250" s="49"/>
      <c r="AE250" s="49"/>
      <c r="AF250" s="50"/>
      <c r="AG250" s="2">
        <f t="shared" si="10"/>
        <v>1</v>
      </c>
      <c r="AH250" s="78">
        <f t="shared" si="11"/>
        <v>7</v>
      </c>
    </row>
    <row r="251" spans="1:34" s="9" customFormat="1" x14ac:dyDescent="0.45">
      <c r="A251" s="16" t="s">
        <v>523</v>
      </c>
      <c r="B251" s="13"/>
      <c r="C251" s="16" t="s">
        <v>523</v>
      </c>
      <c r="D251" s="16"/>
      <c r="E251" s="13" t="str">
        <f>IF(ISBLANK(A251),"neu",IF(ISBLANK(C251),"weg",IF(A251&lt;&gt;C251,"geändert","")))</f>
        <v/>
      </c>
      <c r="F251" s="49" t="s">
        <v>657</v>
      </c>
      <c r="G251" s="49"/>
      <c r="H251" s="49" t="s">
        <v>13</v>
      </c>
      <c r="I251" s="50"/>
      <c r="J251" s="118">
        <v>1</v>
      </c>
      <c r="K251" s="119">
        <v>1</v>
      </c>
      <c r="L251" s="119">
        <v>1</v>
      </c>
      <c r="M251" s="119"/>
      <c r="N251" s="119">
        <v>1</v>
      </c>
      <c r="O251" s="119">
        <v>1</v>
      </c>
      <c r="P251" s="119">
        <v>1</v>
      </c>
      <c r="Q251" s="119"/>
      <c r="R251" s="74">
        <v>1</v>
      </c>
      <c r="S251" s="49"/>
      <c r="T251" s="49"/>
      <c r="U251" s="49"/>
      <c r="V251" s="49"/>
      <c r="W251" s="49"/>
      <c r="X251" s="49"/>
      <c r="Y251" s="51">
        <v>1</v>
      </c>
      <c r="Z251" s="49"/>
      <c r="AA251" s="49"/>
      <c r="AB251" s="49"/>
      <c r="AC251" s="49"/>
      <c r="AD251" s="49"/>
      <c r="AE251" s="49"/>
      <c r="AF251" s="50"/>
      <c r="AG251" s="2">
        <f t="shared" si="10"/>
        <v>1</v>
      </c>
      <c r="AH251" s="78">
        <f t="shared" si="11"/>
        <v>7</v>
      </c>
    </row>
    <row r="252" spans="1:34" s="9" customFormat="1" x14ac:dyDescent="0.45">
      <c r="A252" s="39" t="s">
        <v>524</v>
      </c>
      <c r="B252" s="13"/>
      <c r="C252" s="39" t="s">
        <v>524</v>
      </c>
      <c r="D252" s="39"/>
      <c r="E252" s="13" t="str">
        <f>IF(ISBLANK(A252),"neu",IF(ISBLANK(C252),"weg",IF(A252&lt;&gt;C252,"geändert","")))</f>
        <v/>
      </c>
      <c r="F252" s="55" t="s">
        <v>611</v>
      </c>
      <c r="G252" s="55"/>
      <c r="H252" s="39" t="s">
        <v>15</v>
      </c>
      <c r="I252" s="56"/>
      <c r="J252" s="116">
        <v>1</v>
      </c>
      <c r="K252" s="120">
        <v>1</v>
      </c>
      <c r="L252" s="120">
        <v>1</v>
      </c>
      <c r="M252" s="120"/>
      <c r="N252" s="120">
        <v>1</v>
      </c>
      <c r="O252" s="120">
        <v>1</v>
      </c>
      <c r="P252" s="120">
        <v>1</v>
      </c>
      <c r="Q252" s="120"/>
      <c r="R252" s="74">
        <v>1</v>
      </c>
      <c r="S252" s="55"/>
      <c r="T252" s="55"/>
      <c r="U252" s="55"/>
      <c r="V252" s="55"/>
      <c r="W252" s="55"/>
      <c r="X252" s="55"/>
      <c r="Y252" s="60">
        <v>1</v>
      </c>
      <c r="Z252" s="55"/>
      <c r="AA252" s="55"/>
      <c r="AB252" s="55"/>
      <c r="AC252" s="55"/>
      <c r="AD252" s="55"/>
      <c r="AE252" s="55"/>
      <c r="AF252" s="61"/>
      <c r="AG252" s="2">
        <f t="shared" si="10"/>
        <v>1</v>
      </c>
      <c r="AH252" s="78">
        <f t="shared" si="11"/>
        <v>7</v>
      </c>
    </row>
    <row r="253" spans="1:34" s="9" customFormat="1" x14ac:dyDescent="0.45">
      <c r="A253" s="40" t="s">
        <v>525</v>
      </c>
      <c r="B253" s="13"/>
      <c r="C253" s="40" t="s">
        <v>525</v>
      </c>
      <c r="D253" s="40"/>
      <c r="E253" s="13" t="str">
        <f>IF(ISBLANK(A253),"neu",IF(ISBLANK(C253),"weg",IF(A253&lt;&gt;C253,"geändert","")))</f>
        <v/>
      </c>
      <c r="F253" s="55" t="s">
        <v>612</v>
      </c>
      <c r="G253" s="55"/>
      <c r="H253" s="39" t="s">
        <v>15</v>
      </c>
      <c r="I253" s="56"/>
      <c r="J253" s="116">
        <v>1</v>
      </c>
      <c r="K253" s="120">
        <v>1</v>
      </c>
      <c r="L253" s="120">
        <v>1</v>
      </c>
      <c r="M253" s="120"/>
      <c r="N253" s="120">
        <v>1</v>
      </c>
      <c r="O253" s="120">
        <v>1</v>
      </c>
      <c r="P253" s="120">
        <v>1</v>
      </c>
      <c r="Q253" s="120"/>
      <c r="R253" s="74">
        <v>1</v>
      </c>
      <c r="S253" s="55"/>
      <c r="T253" s="55"/>
      <c r="U253" s="55"/>
      <c r="V253" s="55"/>
      <c r="W253" s="55"/>
      <c r="X253" s="55"/>
      <c r="Y253" s="60">
        <v>1</v>
      </c>
      <c r="Z253" s="55"/>
      <c r="AA253" s="55"/>
      <c r="AB253" s="55"/>
      <c r="AC253" s="55"/>
      <c r="AD253" s="55"/>
      <c r="AE253" s="55"/>
      <c r="AF253" s="61"/>
      <c r="AG253" s="2">
        <f t="shared" si="10"/>
        <v>1</v>
      </c>
      <c r="AH253" s="78">
        <f t="shared" si="11"/>
        <v>7</v>
      </c>
    </row>
    <row r="254" spans="1:34" s="9" customFormat="1" x14ac:dyDescent="0.45">
      <c r="A254" s="39" t="s">
        <v>526</v>
      </c>
      <c r="B254" s="13"/>
      <c r="C254" s="39" t="s">
        <v>526</v>
      </c>
      <c r="D254" s="39"/>
      <c r="E254" s="13" t="str">
        <f>IF(ISBLANK(A254),"neu",IF(ISBLANK(C254),"weg",IF(A254&lt;&gt;C254,"geändert","")))</f>
        <v/>
      </c>
      <c r="F254" s="55" t="s">
        <v>613</v>
      </c>
      <c r="G254" s="55"/>
      <c r="H254" s="39" t="s">
        <v>15</v>
      </c>
      <c r="I254" s="56"/>
      <c r="J254" s="116">
        <v>1</v>
      </c>
      <c r="K254" s="120">
        <v>1</v>
      </c>
      <c r="L254" s="120">
        <v>1</v>
      </c>
      <c r="M254" s="120"/>
      <c r="N254" s="120">
        <v>1</v>
      </c>
      <c r="O254" s="120">
        <v>1</v>
      </c>
      <c r="P254" s="120">
        <v>1</v>
      </c>
      <c r="Q254" s="120"/>
      <c r="R254" s="74">
        <v>1</v>
      </c>
      <c r="S254" s="55"/>
      <c r="T254" s="55"/>
      <c r="U254" s="55"/>
      <c r="V254" s="55"/>
      <c r="W254" s="55"/>
      <c r="X254" s="55"/>
      <c r="Y254" s="55"/>
      <c r="Z254" s="60">
        <v>1</v>
      </c>
      <c r="AA254" s="55"/>
      <c r="AB254" s="55"/>
      <c r="AC254" s="55"/>
      <c r="AD254" s="55"/>
      <c r="AE254" s="55"/>
      <c r="AF254" s="61"/>
      <c r="AG254" s="2">
        <f t="shared" si="10"/>
        <v>1</v>
      </c>
      <c r="AH254" s="78">
        <f t="shared" si="11"/>
        <v>8</v>
      </c>
    </row>
    <row r="255" spans="1:34" s="9" customFormat="1" x14ac:dyDescent="0.45">
      <c r="A255" s="39" t="s">
        <v>527</v>
      </c>
      <c r="B255" s="13"/>
      <c r="C255" s="39" t="s">
        <v>527</v>
      </c>
      <c r="D255" s="39"/>
      <c r="E255" s="13" t="str">
        <f>IF(ISBLANK(A255),"neu",IF(ISBLANK(C255),"weg",IF(A255&lt;&gt;C255,"geändert","")))</f>
        <v/>
      </c>
      <c r="F255" s="55" t="s">
        <v>614</v>
      </c>
      <c r="G255" s="59"/>
      <c r="H255" s="39" t="s">
        <v>15</v>
      </c>
      <c r="I255" s="56"/>
      <c r="J255" s="116">
        <v>1</v>
      </c>
      <c r="K255" s="120">
        <v>1</v>
      </c>
      <c r="L255" s="120">
        <v>1</v>
      </c>
      <c r="M255" s="120"/>
      <c r="N255" s="120">
        <v>1</v>
      </c>
      <c r="O255" s="120">
        <v>1</v>
      </c>
      <c r="P255" s="120">
        <v>1</v>
      </c>
      <c r="Q255" s="120"/>
      <c r="R255" s="74">
        <v>1</v>
      </c>
      <c r="S255" s="55"/>
      <c r="T255" s="55"/>
      <c r="U255" s="55"/>
      <c r="V255" s="55"/>
      <c r="W255" s="55"/>
      <c r="X255" s="55"/>
      <c r="Y255" s="60">
        <v>1</v>
      </c>
      <c r="Z255" s="55"/>
      <c r="AA255" s="55"/>
      <c r="AB255" s="55"/>
      <c r="AC255" s="55"/>
      <c r="AD255" s="55"/>
      <c r="AE255" s="55"/>
      <c r="AF255" s="61"/>
      <c r="AG255" s="2">
        <f t="shared" si="10"/>
        <v>1</v>
      </c>
      <c r="AH255" s="78">
        <f t="shared" si="11"/>
        <v>7</v>
      </c>
    </row>
    <row r="256" spans="1:34" s="9" customFormat="1" x14ac:dyDescent="0.45">
      <c r="A256" s="16" t="s">
        <v>528</v>
      </c>
      <c r="B256" s="13"/>
      <c r="C256" s="16" t="s">
        <v>528</v>
      </c>
      <c r="D256" s="16"/>
      <c r="E256" s="13" t="str">
        <f>IF(ISBLANK(A256),"neu",IF(ISBLANK(C256),"weg",IF(A256&lt;&gt;C256,"geändert","")))</f>
        <v/>
      </c>
      <c r="F256" s="49" t="s">
        <v>658</v>
      </c>
      <c r="G256" s="49"/>
      <c r="H256" s="49" t="s">
        <v>13</v>
      </c>
      <c r="I256" s="50"/>
      <c r="J256" s="118">
        <v>1</v>
      </c>
      <c r="K256" s="119">
        <v>1</v>
      </c>
      <c r="L256" s="119">
        <v>1</v>
      </c>
      <c r="M256" s="119"/>
      <c r="N256" s="119">
        <v>1</v>
      </c>
      <c r="O256" s="119">
        <v>1</v>
      </c>
      <c r="P256" s="119">
        <v>1</v>
      </c>
      <c r="Q256" s="119"/>
      <c r="R256" s="74">
        <v>1</v>
      </c>
      <c r="S256" s="49"/>
      <c r="T256" s="49"/>
      <c r="U256" s="49"/>
      <c r="V256" s="49"/>
      <c r="W256" s="49"/>
      <c r="X256" s="49"/>
      <c r="Y256" s="51">
        <v>1</v>
      </c>
      <c r="Z256" s="49"/>
      <c r="AA256" s="49"/>
      <c r="AB256" s="49"/>
      <c r="AC256" s="49"/>
      <c r="AD256" s="49"/>
      <c r="AE256" s="49"/>
      <c r="AF256" s="50"/>
      <c r="AG256" s="2">
        <f t="shared" si="10"/>
        <v>1</v>
      </c>
      <c r="AH256" s="78">
        <f t="shared" si="11"/>
        <v>7</v>
      </c>
    </row>
    <row r="257" spans="1:34" s="9" customFormat="1" x14ac:dyDescent="0.45">
      <c r="A257" s="39" t="s">
        <v>529</v>
      </c>
      <c r="B257" s="13"/>
      <c r="C257" s="39" t="s">
        <v>529</v>
      </c>
      <c r="D257" s="39"/>
      <c r="E257" s="13" t="str">
        <f>IF(ISBLANK(A257),"neu",IF(ISBLANK(C257),"weg",IF(A257&lt;&gt;C257,"geändert","")))</f>
        <v/>
      </c>
      <c r="F257" s="55" t="s">
        <v>615</v>
      </c>
      <c r="G257" s="55"/>
      <c r="H257" s="39" t="s">
        <v>15</v>
      </c>
      <c r="I257" s="56"/>
      <c r="J257" s="116">
        <v>1</v>
      </c>
      <c r="K257" s="120">
        <v>1</v>
      </c>
      <c r="L257" s="120">
        <v>1</v>
      </c>
      <c r="M257" s="120"/>
      <c r="N257" s="120">
        <v>1</v>
      </c>
      <c r="O257" s="120">
        <v>1</v>
      </c>
      <c r="P257" s="120">
        <v>1</v>
      </c>
      <c r="Q257" s="120"/>
      <c r="R257" s="74">
        <v>1</v>
      </c>
      <c r="S257" s="55"/>
      <c r="T257" s="55"/>
      <c r="U257" s="55"/>
      <c r="V257" s="55"/>
      <c r="W257" s="55"/>
      <c r="X257" s="55"/>
      <c r="Y257" s="60">
        <v>1</v>
      </c>
      <c r="Z257" s="55"/>
      <c r="AA257" s="55"/>
      <c r="AB257" s="55"/>
      <c r="AC257" s="55"/>
      <c r="AD257" s="55"/>
      <c r="AE257" s="55"/>
      <c r="AF257" s="61"/>
      <c r="AG257" s="2">
        <f t="shared" si="10"/>
        <v>1</v>
      </c>
      <c r="AH257" s="78">
        <f t="shared" si="11"/>
        <v>7</v>
      </c>
    </row>
    <row r="258" spans="1:34" s="9" customFormat="1" x14ac:dyDescent="0.45">
      <c r="A258" s="39" t="s">
        <v>530</v>
      </c>
      <c r="B258" s="13"/>
      <c r="C258" s="39" t="s">
        <v>530</v>
      </c>
      <c r="D258" s="39"/>
      <c r="E258" s="13" t="str">
        <f>IF(ISBLANK(A258),"neu",IF(ISBLANK(C258),"weg",IF(A258&lt;&gt;C258,"geändert","")))</f>
        <v/>
      </c>
      <c r="F258" s="55" t="s">
        <v>616</v>
      </c>
      <c r="G258" s="59"/>
      <c r="H258" s="39" t="s">
        <v>15</v>
      </c>
      <c r="I258" s="56"/>
      <c r="J258" s="116">
        <v>1</v>
      </c>
      <c r="K258" s="120">
        <v>1</v>
      </c>
      <c r="L258" s="120">
        <v>1</v>
      </c>
      <c r="M258" s="120"/>
      <c r="N258" s="120">
        <v>1</v>
      </c>
      <c r="O258" s="120">
        <v>1</v>
      </c>
      <c r="P258" s="120">
        <v>1</v>
      </c>
      <c r="Q258" s="120"/>
      <c r="R258" s="74">
        <v>1</v>
      </c>
      <c r="S258" s="55"/>
      <c r="T258" s="55"/>
      <c r="U258" s="55"/>
      <c r="V258" s="55"/>
      <c r="W258" s="55"/>
      <c r="X258" s="55"/>
      <c r="Y258" s="60">
        <v>1</v>
      </c>
      <c r="Z258" s="55"/>
      <c r="AA258" s="55"/>
      <c r="AB258" s="55"/>
      <c r="AC258" s="55"/>
      <c r="AD258" s="55"/>
      <c r="AE258" s="55"/>
      <c r="AF258" s="61"/>
      <c r="AG258" s="2">
        <f t="shared" si="10"/>
        <v>1</v>
      </c>
      <c r="AH258" s="78">
        <f t="shared" si="11"/>
        <v>7</v>
      </c>
    </row>
    <row r="259" spans="1:34" s="9" customFormat="1" x14ac:dyDescent="0.45">
      <c r="A259" s="71" t="s">
        <v>600</v>
      </c>
      <c r="B259" s="13"/>
      <c r="C259" s="16" t="s">
        <v>531</v>
      </c>
      <c r="D259" s="16"/>
      <c r="E259" s="13" t="str">
        <f>IF(ISBLANK(A259),"neu",IF(ISBLANK(C259),"weg",IF(A259&lt;&gt;C259,"geändert","")))</f>
        <v>geändert</v>
      </c>
      <c r="F259" s="58" t="s">
        <v>659</v>
      </c>
      <c r="G259" s="58"/>
      <c r="H259" s="49" t="s">
        <v>13</v>
      </c>
      <c r="I259" s="50"/>
      <c r="J259" s="118">
        <v>1</v>
      </c>
      <c r="K259" s="119">
        <v>1</v>
      </c>
      <c r="L259" s="119">
        <v>1</v>
      </c>
      <c r="M259" s="119"/>
      <c r="N259" s="119">
        <v>1</v>
      </c>
      <c r="O259" s="119">
        <v>1</v>
      </c>
      <c r="P259" s="119">
        <v>1</v>
      </c>
      <c r="Q259" s="119"/>
      <c r="R259" s="74">
        <v>1</v>
      </c>
      <c r="S259" s="49"/>
      <c r="T259" s="51">
        <v>1</v>
      </c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50"/>
      <c r="AG259" s="2">
        <f t="shared" si="10"/>
        <v>1</v>
      </c>
      <c r="AH259" s="78">
        <f t="shared" si="11"/>
        <v>2</v>
      </c>
    </row>
    <row r="260" spans="1:34" s="9" customFormat="1" x14ac:dyDescent="0.45">
      <c r="A260" s="16" t="s">
        <v>532</v>
      </c>
      <c r="B260" s="13"/>
      <c r="C260" s="16" t="s">
        <v>532</v>
      </c>
      <c r="D260" s="16"/>
      <c r="E260" s="13" t="str">
        <f>IF(ISBLANK(A260),"neu",IF(ISBLANK(C260),"weg",IF(A260&lt;&gt;C260,"geändert","")))</f>
        <v/>
      </c>
      <c r="F260" s="49" t="s">
        <v>660</v>
      </c>
      <c r="G260" s="49"/>
      <c r="H260" s="49" t="s">
        <v>13</v>
      </c>
      <c r="I260" s="50"/>
      <c r="J260" s="118">
        <v>1</v>
      </c>
      <c r="K260" s="119">
        <v>1</v>
      </c>
      <c r="L260" s="119">
        <v>1</v>
      </c>
      <c r="M260" s="119"/>
      <c r="N260" s="119">
        <v>1</v>
      </c>
      <c r="O260" s="119">
        <v>1</v>
      </c>
      <c r="P260" s="119">
        <v>1</v>
      </c>
      <c r="Q260" s="119"/>
      <c r="R260" s="74">
        <v>1</v>
      </c>
      <c r="S260" s="49"/>
      <c r="T260" s="49"/>
      <c r="U260" s="51">
        <v>1</v>
      </c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50"/>
      <c r="AG260" s="2">
        <f t="shared" si="10"/>
        <v>1</v>
      </c>
      <c r="AH260" s="78">
        <f t="shared" si="11"/>
        <v>3</v>
      </c>
    </row>
    <row r="261" spans="1:34" s="9" customFormat="1" x14ac:dyDescent="0.45">
      <c r="A261" s="16" t="s">
        <v>533</v>
      </c>
      <c r="B261" s="13"/>
      <c r="C261" s="16" t="s">
        <v>533</v>
      </c>
      <c r="D261" s="16"/>
      <c r="E261" s="13" t="str">
        <f>IF(ISBLANK(A261),"neu",IF(ISBLANK(C261),"weg",IF(A261&lt;&gt;C261,"geändert","")))</f>
        <v/>
      </c>
      <c r="F261" s="49" t="s">
        <v>661</v>
      </c>
      <c r="G261" s="49"/>
      <c r="H261" s="49" t="s">
        <v>13</v>
      </c>
      <c r="I261" s="50"/>
      <c r="J261" s="118">
        <v>1</v>
      </c>
      <c r="K261" s="119">
        <v>1</v>
      </c>
      <c r="L261" s="119">
        <v>1</v>
      </c>
      <c r="M261" s="119"/>
      <c r="N261" s="119">
        <v>1</v>
      </c>
      <c r="O261" s="119">
        <v>1</v>
      </c>
      <c r="P261" s="119">
        <v>1</v>
      </c>
      <c r="Q261" s="119"/>
      <c r="R261" s="74">
        <v>1</v>
      </c>
      <c r="S261" s="49"/>
      <c r="T261" s="51">
        <v>1</v>
      </c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50"/>
      <c r="AG261" s="2">
        <f t="shared" si="10"/>
        <v>1</v>
      </c>
      <c r="AH261" s="78">
        <f t="shared" si="11"/>
        <v>2</v>
      </c>
    </row>
    <row r="262" spans="1:34" s="9" customFormat="1" x14ac:dyDescent="0.45">
      <c r="A262" s="16" t="s">
        <v>534</v>
      </c>
      <c r="B262" s="13"/>
      <c r="C262" s="16" t="s">
        <v>534</v>
      </c>
      <c r="D262" s="16"/>
      <c r="E262" s="13" t="str">
        <f>IF(ISBLANK(A262),"neu",IF(ISBLANK(C262),"weg",IF(A262&lt;&gt;C262,"geändert","")))</f>
        <v/>
      </c>
      <c r="F262" s="49" t="s">
        <v>639</v>
      </c>
      <c r="G262" s="49"/>
      <c r="H262" s="49" t="s">
        <v>14</v>
      </c>
      <c r="I262" s="50"/>
      <c r="J262" s="118">
        <v>1</v>
      </c>
      <c r="K262" s="119">
        <v>1</v>
      </c>
      <c r="L262" s="119">
        <v>1</v>
      </c>
      <c r="M262" s="119"/>
      <c r="N262" s="119">
        <v>1</v>
      </c>
      <c r="O262" s="119">
        <v>1</v>
      </c>
      <c r="P262" s="119">
        <v>1</v>
      </c>
      <c r="Q262" s="119"/>
      <c r="R262" s="74">
        <v>1</v>
      </c>
      <c r="S262" s="49"/>
      <c r="T262" s="51">
        <v>1</v>
      </c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50"/>
      <c r="AG262" s="2">
        <f t="shared" si="10"/>
        <v>1</v>
      </c>
      <c r="AH262" s="78">
        <f t="shared" si="11"/>
        <v>2</v>
      </c>
    </row>
    <row r="263" spans="1:34" s="9" customFormat="1" x14ac:dyDescent="0.45">
      <c r="A263" s="16" t="s">
        <v>535</v>
      </c>
      <c r="B263" s="13"/>
      <c r="C263" s="16" t="s">
        <v>535</v>
      </c>
      <c r="D263" s="16"/>
      <c r="E263" s="13" t="str">
        <f>IF(ISBLANK(A263),"neu",IF(ISBLANK(C263),"weg",IF(A263&lt;&gt;C263,"geändert","")))</f>
        <v/>
      </c>
      <c r="F263" s="49" t="s">
        <v>640</v>
      </c>
      <c r="G263" s="49"/>
      <c r="H263" s="49" t="s">
        <v>14</v>
      </c>
      <c r="I263" s="50"/>
      <c r="J263" s="118">
        <v>1</v>
      </c>
      <c r="K263" s="119">
        <v>1</v>
      </c>
      <c r="L263" s="119">
        <v>1</v>
      </c>
      <c r="M263" s="119"/>
      <c r="N263" s="119">
        <v>1</v>
      </c>
      <c r="O263" s="119">
        <v>1</v>
      </c>
      <c r="P263" s="119">
        <v>1</v>
      </c>
      <c r="Q263" s="119"/>
      <c r="R263" s="74">
        <v>1</v>
      </c>
      <c r="S263" s="49"/>
      <c r="T263" s="49"/>
      <c r="U263" s="51">
        <v>1</v>
      </c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50"/>
      <c r="AG263" s="2">
        <f t="shared" si="10"/>
        <v>1</v>
      </c>
      <c r="AH263" s="78">
        <f t="shared" si="11"/>
        <v>3</v>
      </c>
    </row>
    <row r="264" spans="1:34" s="9" customFormat="1" x14ac:dyDescent="0.45">
      <c r="A264" s="39" t="s">
        <v>536</v>
      </c>
      <c r="B264" s="13"/>
      <c r="C264" s="39" t="s">
        <v>536</v>
      </c>
      <c r="D264" s="39"/>
      <c r="E264" s="13" t="str">
        <f>IF(ISBLANK(A264),"neu",IF(ISBLANK(C264),"weg",IF(A264&lt;&gt;C264,"geändert","")))</f>
        <v/>
      </c>
      <c r="F264" s="39" t="s">
        <v>680</v>
      </c>
      <c r="G264" s="49"/>
      <c r="H264" s="39" t="s">
        <v>15</v>
      </c>
      <c r="I264" s="56"/>
      <c r="J264" s="116">
        <v>1</v>
      </c>
      <c r="K264" s="120">
        <v>1</v>
      </c>
      <c r="L264" s="120">
        <v>1</v>
      </c>
      <c r="M264" s="120"/>
      <c r="N264" s="120">
        <v>1</v>
      </c>
      <c r="O264" s="120">
        <v>1</v>
      </c>
      <c r="P264" s="120">
        <v>1</v>
      </c>
      <c r="Q264" s="120"/>
      <c r="R264" s="74">
        <v>1</v>
      </c>
      <c r="S264" s="49"/>
      <c r="T264" s="60">
        <v>1</v>
      </c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50"/>
      <c r="AG264" s="2">
        <f t="shared" si="10"/>
        <v>1</v>
      </c>
      <c r="AH264" s="78">
        <f t="shared" si="11"/>
        <v>2</v>
      </c>
    </row>
    <row r="265" spans="1:34" s="9" customFormat="1" x14ac:dyDescent="0.45">
      <c r="A265" s="39" t="s">
        <v>537</v>
      </c>
      <c r="B265" s="13"/>
      <c r="C265" s="39" t="s">
        <v>537</v>
      </c>
      <c r="D265" s="39"/>
      <c r="E265" s="13" t="str">
        <f>IF(ISBLANK(A265),"neu",IF(ISBLANK(C265),"weg",IF(A265&lt;&gt;C265,"geändert","")))</f>
        <v/>
      </c>
      <c r="F265" s="55" t="s">
        <v>617</v>
      </c>
      <c r="G265" s="55"/>
      <c r="H265" s="39" t="s">
        <v>15</v>
      </c>
      <c r="I265" s="56"/>
      <c r="J265" s="116">
        <v>1</v>
      </c>
      <c r="K265" s="120">
        <v>1</v>
      </c>
      <c r="L265" s="120">
        <v>1</v>
      </c>
      <c r="M265" s="120"/>
      <c r="N265" s="120">
        <v>1</v>
      </c>
      <c r="O265" s="120">
        <v>1</v>
      </c>
      <c r="P265" s="120">
        <v>1</v>
      </c>
      <c r="Q265" s="120"/>
      <c r="R265" s="74">
        <v>1</v>
      </c>
      <c r="S265" s="55"/>
      <c r="T265" s="60">
        <v>1</v>
      </c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61"/>
      <c r="AG265" s="2">
        <f t="shared" si="10"/>
        <v>1</v>
      </c>
      <c r="AH265" s="78">
        <f t="shared" si="11"/>
        <v>2</v>
      </c>
    </row>
    <row r="266" spans="1:34" s="9" customFormat="1" x14ac:dyDescent="0.45">
      <c r="A266" s="39" t="s">
        <v>538</v>
      </c>
      <c r="B266" s="13"/>
      <c r="C266" s="39" t="s">
        <v>538</v>
      </c>
      <c r="D266" s="39"/>
      <c r="E266" s="13" t="str">
        <f>IF(ISBLANK(A266),"neu",IF(ISBLANK(C266),"weg",IF(A266&lt;&gt;C266,"geändert","")))</f>
        <v/>
      </c>
      <c r="F266" s="55" t="s">
        <v>618</v>
      </c>
      <c r="G266" s="55"/>
      <c r="H266" s="39" t="s">
        <v>15</v>
      </c>
      <c r="I266" s="56"/>
      <c r="J266" s="116">
        <v>1</v>
      </c>
      <c r="K266" s="120">
        <v>1</v>
      </c>
      <c r="L266" s="120">
        <v>1</v>
      </c>
      <c r="M266" s="120"/>
      <c r="N266" s="120">
        <v>1</v>
      </c>
      <c r="O266" s="120">
        <v>1</v>
      </c>
      <c r="P266" s="120">
        <v>1</v>
      </c>
      <c r="Q266" s="120"/>
      <c r="R266" s="74">
        <v>1</v>
      </c>
      <c r="S266" s="55"/>
      <c r="T266" s="60">
        <v>1</v>
      </c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61"/>
      <c r="AG266" s="2">
        <f t="shared" si="10"/>
        <v>1</v>
      </c>
      <c r="AH266" s="78">
        <f t="shared" si="11"/>
        <v>2</v>
      </c>
    </row>
    <row r="267" spans="1:34" s="9" customFormat="1" x14ac:dyDescent="0.45">
      <c r="A267" s="20"/>
      <c r="B267" s="13"/>
      <c r="C267" s="20" t="s">
        <v>539</v>
      </c>
      <c r="D267" s="20"/>
      <c r="E267" s="13" t="str">
        <f>IF(ISBLANK(A267),"neu",IF(ISBLANK(C267),"weg",IF(A267&lt;&gt;C267,"geändert","")))</f>
        <v>neu</v>
      </c>
      <c r="F267" s="64" t="s">
        <v>681</v>
      </c>
      <c r="G267" s="59" t="s">
        <v>540</v>
      </c>
      <c r="H267" s="88" t="s">
        <v>14</v>
      </c>
      <c r="I267" s="63"/>
      <c r="J267" s="121">
        <v>1</v>
      </c>
      <c r="K267" s="122">
        <v>1</v>
      </c>
      <c r="L267" s="122">
        <v>1</v>
      </c>
      <c r="M267" s="122"/>
      <c r="N267" s="122">
        <v>1</v>
      </c>
      <c r="O267" s="122">
        <v>1</v>
      </c>
      <c r="P267" s="122">
        <v>1</v>
      </c>
      <c r="Q267" s="122"/>
      <c r="R267" s="74">
        <v>1</v>
      </c>
      <c r="S267" s="55"/>
      <c r="T267" s="55"/>
      <c r="U267" s="51">
        <v>1</v>
      </c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61"/>
      <c r="AG267" s="2">
        <f t="shared" si="10"/>
        <v>1</v>
      </c>
      <c r="AH267" s="78">
        <f t="shared" si="11"/>
        <v>3</v>
      </c>
    </row>
    <row r="268" spans="1:34" s="9" customFormat="1" x14ac:dyDescent="0.45">
      <c r="A268" s="39" t="s">
        <v>541</v>
      </c>
      <c r="B268" s="13"/>
      <c r="C268" s="39" t="s">
        <v>541</v>
      </c>
      <c r="D268" s="39"/>
      <c r="E268" s="13" t="str">
        <f>IF(ISBLANK(A268),"neu",IF(ISBLANK(C268),"weg",IF(A268&lt;&gt;C268,"geändert","")))</f>
        <v/>
      </c>
      <c r="F268" s="39" t="s">
        <v>682</v>
      </c>
      <c r="G268" s="62" t="s">
        <v>540</v>
      </c>
      <c r="H268" s="39" t="s">
        <v>15</v>
      </c>
      <c r="I268" s="56"/>
      <c r="J268" s="116">
        <v>1</v>
      </c>
      <c r="K268" s="120">
        <v>1</v>
      </c>
      <c r="L268" s="120">
        <v>1</v>
      </c>
      <c r="M268" s="120"/>
      <c r="N268" s="120">
        <v>1</v>
      </c>
      <c r="O268" s="120">
        <v>1</v>
      </c>
      <c r="P268" s="120">
        <v>1</v>
      </c>
      <c r="Q268" s="120"/>
      <c r="R268" s="74">
        <v>1</v>
      </c>
      <c r="S268" s="55"/>
      <c r="T268" s="55"/>
      <c r="U268" s="57">
        <v>1</v>
      </c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61"/>
      <c r="AG268" s="2">
        <f t="shared" si="10"/>
        <v>1</v>
      </c>
      <c r="AH268" s="78">
        <f t="shared" si="11"/>
        <v>3</v>
      </c>
    </row>
    <row r="269" spans="1:34" s="9" customFormat="1" x14ac:dyDescent="0.45">
      <c r="A269" s="39" t="s">
        <v>542</v>
      </c>
      <c r="B269" s="13"/>
      <c r="C269" s="39" t="s">
        <v>542</v>
      </c>
      <c r="D269" s="39"/>
      <c r="E269" s="13" t="str">
        <f>IF(ISBLANK(A269),"neu",IF(ISBLANK(C269),"weg",IF(A269&lt;&gt;C269,"geändert","")))</f>
        <v/>
      </c>
      <c r="F269" s="39" t="s">
        <v>683</v>
      </c>
      <c r="G269" s="62" t="s">
        <v>540</v>
      </c>
      <c r="H269" s="39" t="s">
        <v>15</v>
      </c>
      <c r="I269" s="56"/>
      <c r="J269" s="116">
        <v>1</v>
      </c>
      <c r="K269" s="120">
        <v>1</v>
      </c>
      <c r="L269" s="120">
        <v>1</v>
      </c>
      <c r="M269" s="120"/>
      <c r="N269" s="120">
        <v>1</v>
      </c>
      <c r="O269" s="120">
        <v>1</v>
      </c>
      <c r="P269" s="120">
        <v>1</v>
      </c>
      <c r="Q269" s="120"/>
      <c r="R269" s="74">
        <v>1</v>
      </c>
      <c r="S269" s="55"/>
      <c r="T269" s="55"/>
      <c r="U269" s="57">
        <v>1</v>
      </c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61"/>
      <c r="AG269" s="2">
        <f t="shared" si="10"/>
        <v>1</v>
      </c>
      <c r="AH269" s="78">
        <f t="shared" si="11"/>
        <v>3</v>
      </c>
    </row>
    <row r="270" spans="1:34" s="9" customFormat="1" x14ac:dyDescent="0.45">
      <c r="A270" s="16" t="s">
        <v>543</v>
      </c>
      <c r="B270" s="13"/>
      <c r="C270" s="16" t="s">
        <v>543</v>
      </c>
      <c r="D270" s="16"/>
      <c r="E270" s="13" t="str">
        <f>IF(ISBLANK(A270),"neu",IF(ISBLANK(C270),"weg",IF(A270&lt;&gt;C270,"geändert","")))</f>
        <v/>
      </c>
      <c r="F270" s="49" t="s">
        <v>662</v>
      </c>
      <c r="G270" s="49"/>
      <c r="H270" s="49" t="s">
        <v>13</v>
      </c>
      <c r="I270" s="50"/>
      <c r="J270" s="118">
        <v>1</v>
      </c>
      <c r="K270" s="119">
        <v>1</v>
      </c>
      <c r="L270" s="119">
        <v>1</v>
      </c>
      <c r="M270" s="119"/>
      <c r="N270" s="119">
        <v>1</v>
      </c>
      <c r="O270" s="119">
        <v>1</v>
      </c>
      <c r="P270" s="119">
        <v>1</v>
      </c>
      <c r="Q270" s="119"/>
      <c r="R270" s="74">
        <v>1</v>
      </c>
      <c r="S270" s="49"/>
      <c r="T270" s="49"/>
      <c r="U270" s="49"/>
      <c r="V270" s="49"/>
      <c r="W270" s="49"/>
      <c r="X270" s="49"/>
      <c r="Y270" s="49"/>
      <c r="Z270" s="49"/>
      <c r="AA270" s="51">
        <v>1</v>
      </c>
      <c r="AB270" s="49"/>
      <c r="AC270" s="49"/>
      <c r="AD270" s="49"/>
      <c r="AE270" s="49"/>
      <c r="AF270" s="50"/>
      <c r="AG270" s="2">
        <f t="shared" si="10"/>
        <v>1</v>
      </c>
      <c r="AH270" s="78">
        <f t="shared" si="11"/>
        <v>9</v>
      </c>
    </row>
    <row r="271" spans="1:34" s="9" customFormat="1" x14ac:dyDescent="0.45">
      <c r="A271" s="16" t="s">
        <v>544</v>
      </c>
      <c r="B271" s="13"/>
      <c r="C271" s="16" t="s">
        <v>544</v>
      </c>
      <c r="D271" s="16"/>
      <c r="E271" s="13" t="str">
        <f>IF(ISBLANK(A271),"neu",IF(ISBLANK(C271),"weg",IF(A271&lt;&gt;C271,"geändert","")))</f>
        <v/>
      </c>
      <c r="F271" s="49" t="s">
        <v>663</v>
      </c>
      <c r="G271" s="49"/>
      <c r="H271" s="49" t="s">
        <v>13</v>
      </c>
      <c r="I271" s="50"/>
      <c r="J271" s="118">
        <v>1</v>
      </c>
      <c r="K271" s="119">
        <v>1</v>
      </c>
      <c r="L271" s="119">
        <v>1</v>
      </c>
      <c r="M271" s="119"/>
      <c r="N271" s="119">
        <v>1</v>
      </c>
      <c r="O271" s="119">
        <v>1</v>
      </c>
      <c r="P271" s="119">
        <v>1</v>
      </c>
      <c r="Q271" s="119"/>
      <c r="R271" s="74">
        <v>1</v>
      </c>
      <c r="S271" s="49"/>
      <c r="T271" s="49"/>
      <c r="U271" s="49"/>
      <c r="V271" s="49"/>
      <c r="W271" s="49"/>
      <c r="X271" s="49"/>
      <c r="Y271" s="49"/>
      <c r="Z271" s="49"/>
      <c r="AA271" s="51">
        <v>1</v>
      </c>
      <c r="AB271" s="49"/>
      <c r="AC271" s="49"/>
      <c r="AD271" s="49"/>
      <c r="AE271" s="49"/>
      <c r="AF271" s="50"/>
      <c r="AG271" s="2">
        <f t="shared" si="10"/>
        <v>1</v>
      </c>
      <c r="AH271" s="78">
        <f t="shared" si="11"/>
        <v>9</v>
      </c>
    </row>
    <row r="272" spans="1:34" s="9" customFormat="1" x14ac:dyDescent="0.45">
      <c r="A272" s="16" t="s">
        <v>545</v>
      </c>
      <c r="B272" s="13"/>
      <c r="C272" s="16" t="s">
        <v>545</v>
      </c>
      <c r="D272" s="16"/>
      <c r="E272" s="13" t="str">
        <f>IF(ISBLANK(A272),"neu",IF(ISBLANK(C272),"weg",IF(A272&lt;&gt;C272,"geändert","")))</f>
        <v/>
      </c>
      <c r="F272" s="49" t="s">
        <v>664</v>
      </c>
      <c r="G272" s="49"/>
      <c r="H272" s="49" t="s">
        <v>13</v>
      </c>
      <c r="I272" s="50"/>
      <c r="J272" s="118">
        <v>1</v>
      </c>
      <c r="K272" s="119">
        <v>1</v>
      </c>
      <c r="L272" s="119">
        <v>1</v>
      </c>
      <c r="M272" s="119"/>
      <c r="N272" s="119">
        <v>1</v>
      </c>
      <c r="O272" s="119">
        <v>1</v>
      </c>
      <c r="P272" s="119">
        <v>1</v>
      </c>
      <c r="Q272" s="119"/>
      <c r="R272" s="74">
        <v>1</v>
      </c>
      <c r="S272" s="51">
        <v>1</v>
      </c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50"/>
      <c r="AG272" s="2">
        <f t="shared" si="10"/>
        <v>1</v>
      </c>
      <c r="AH272" s="78">
        <f t="shared" si="11"/>
        <v>1</v>
      </c>
    </row>
    <row r="273" spans="1:34" s="9" customFormat="1" x14ac:dyDescent="0.45">
      <c r="A273" s="16" t="s">
        <v>546</v>
      </c>
      <c r="B273" s="13"/>
      <c r="C273" s="16" t="s">
        <v>546</v>
      </c>
      <c r="D273" s="16"/>
      <c r="E273" s="13" t="str">
        <f>IF(ISBLANK(A273),"neu",IF(ISBLANK(C273),"weg",IF(A273&lt;&gt;C273,"geändert","")))</f>
        <v/>
      </c>
      <c r="F273" s="79" t="s">
        <v>684</v>
      </c>
      <c r="G273" s="58"/>
      <c r="H273" s="49" t="s">
        <v>13</v>
      </c>
      <c r="I273" s="50"/>
      <c r="J273" s="118">
        <v>1</v>
      </c>
      <c r="K273" s="119">
        <v>1</v>
      </c>
      <c r="L273" s="119">
        <v>1</v>
      </c>
      <c r="M273" s="119"/>
      <c r="N273" s="119">
        <v>1</v>
      </c>
      <c r="O273" s="119">
        <v>1</v>
      </c>
      <c r="P273" s="119">
        <v>1</v>
      </c>
      <c r="Q273" s="119"/>
      <c r="R273" s="74">
        <v>1</v>
      </c>
      <c r="S273" s="49"/>
      <c r="T273" s="49"/>
      <c r="U273" s="49"/>
      <c r="V273" s="49"/>
      <c r="W273" s="49"/>
      <c r="X273" s="49"/>
      <c r="Y273" s="49"/>
      <c r="Z273" s="49"/>
      <c r="AA273" s="51">
        <v>1</v>
      </c>
      <c r="AB273" s="49"/>
      <c r="AC273" s="49"/>
      <c r="AD273" s="49"/>
      <c r="AE273" s="49"/>
      <c r="AF273" s="50"/>
      <c r="AG273" s="2">
        <f t="shared" si="10"/>
        <v>1</v>
      </c>
      <c r="AH273" s="78">
        <f t="shared" si="11"/>
        <v>9</v>
      </c>
    </row>
    <row r="274" spans="1:34" s="9" customFormat="1" x14ac:dyDescent="0.45">
      <c r="A274" s="39" t="s">
        <v>547</v>
      </c>
      <c r="B274" s="13"/>
      <c r="C274" s="39" t="s">
        <v>547</v>
      </c>
      <c r="D274" s="39"/>
      <c r="E274" s="13" t="str">
        <f>IF(ISBLANK(A274),"neu",IF(ISBLANK(C274),"weg",IF(A274&lt;&gt;C274,"geändert","")))</f>
        <v/>
      </c>
      <c r="F274" s="55" t="s">
        <v>619</v>
      </c>
      <c r="G274" s="55"/>
      <c r="H274" s="49" t="s">
        <v>15</v>
      </c>
      <c r="I274" s="50"/>
      <c r="J274" s="116">
        <v>1</v>
      </c>
      <c r="K274" s="119">
        <v>1</v>
      </c>
      <c r="L274" s="119">
        <v>1</v>
      </c>
      <c r="M274" s="119"/>
      <c r="N274" s="119">
        <v>1</v>
      </c>
      <c r="O274" s="119">
        <v>1</v>
      </c>
      <c r="P274" s="119">
        <v>1</v>
      </c>
      <c r="Q274" s="119"/>
      <c r="R274" s="74">
        <v>1</v>
      </c>
      <c r="S274" s="55"/>
      <c r="T274" s="55"/>
      <c r="U274" s="55"/>
      <c r="V274" s="55"/>
      <c r="W274" s="55"/>
      <c r="X274" s="55"/>
      <c r="Y274" s="55"/>
      <c r="Z274" s="55"/>
      <c r="AA274" s="60">
        <v>1</v>
      </c>
      <c r="AB274" s="55"/>
      <c r="AC274" s="55"/>
      <c r="AD274" s="55"/>
      <c r="AE274" s="55"/>
      <c r="AF274" s="61"/>
      <c r="AG274" s="2">
        <f t="shared" si="10"/>
        <v>1</v>
      </c>
      <c r="AH274" s="78">
        <f t="shared" si="11"/>
        <v>9</v>
      </c>
    </row>
    <row r="275" spans="1:34" s="9" customFormat="1" x14ac:dyDescent="0.45">
      <c r="A275" s="39" t="s">
        <v>548</v>
      </c>
      <c r="B275" s="13"/>
      <c r="C275" s="39" t="s">
        <v>548</v>
      </c>
      <c r="D275" s="39"/>
      <c r="E275" s="13" t="str">
        <f>IF(ISBLANK(A275),"neu",IF(ISBLANK(C275),"weg",IF(A275&lt;&gt;C275,"geändert","")))</f>
        <v/>
      </c>
      <c r="F275" s="55" t="s">
        <v>620</v>
      </c>
      <c r="G275" s="55"/>
      <c r="H275" s="49" t="s">
        <v>15</v>
      </c>
      <c r="I275" s="50"/>
      <c r="J275" s="116">
        <v>1</v>
      </c>
      <c r="K275" s="119">
        <v>1</v>
      </c>
      <c r="L275" s="119">
        <v>1</v>
      </c>
      <c r="M275" s="119"/>
      <c r="N275" s="119">
        <v>1</v>
      </c>
      <c r="O275" s="119">
        <v>1</v>
      </c>
      <c r="P275" s="119">
        <v>1</v>
      </c>
      <c r="Q275" s="119"/>
      <c r="R275" s="74">
        <v>1</v>
      </c>
      <c r="S275" s="55"/>
      <c r="T275" s="55"/>
      <c r="U275" s="55"/>
      <c r="V275" s="55"/>
      <c r="W275" s="55"/>
      <c r="X275" s="55"/>
      <c r="Y275" s="55"/>
      <c r="Z275" s="55"/>
      <c r="AA275" s="60">
        <v>1</v>
      </c>
      <c r="AB275" s="55"/>
      <c r="AC275" s="55"/>
      <c r="AD275" s="55"/>
      <c r="AE275" s="55"/>
      <c r="AF275" s="61"/>
      <c r="AG275" s="2">
        <f t="shared" si="10"/>
        <v>1</v>
      </c>
      <c r="AH275" s="78">
        <f t="shared" si="11"/>
        <v>9</v>
      </c>
    </row>
    <row r="276" spans="1:34" s="9" customFormat="1" x14ac:dyDescent="0.45">
      <c r="A276" s="64"/>
      <c r="B276" s="13"/>
      <c r="C276" s="64" t="s">
        <v>549</v>
      </c>
      <c r="D276" s="64"/>
      <c r="E276" s="13" t="str">
        <f>IF(ISBLANK(A276),"neu",IF(ISBLANK(C276),"weg",IF(A276&lt;&gt;C276,"geändert","")))</f>
        <v>neu</v>
      </c>
      <c r="F276" s="64" t="s">
        <v>672</v>
      </c>
      <c r="G276" s="59" t="s">
        <v>540</v>
      </c>
      <c r="H276" s="88" t="s">
        <v>14</v>
      </c>
      <c r="I276" s="63"/>
      <c r="J276" s="121">
        <v>1</v>
      </c>
      <c r="K276" s="122">
        <v>1</v>
      </c>
      <c r="L276" s="122">
        <v>1</v>
      </c>
      <c r="M276" s="122"/>
      <c r="N276" s="122">
        <v>1</v>
      </c>
      <c r="O276" s="122">
        <v>1</v>
      </c>
      <c r="P276" s="122">
        <v>1</v>
      </c>
      <c r="Q276" s="122"/>
      <c r="R276" s="74">
        <v>1</v>
      </c>
      <c r="S276" s="55"/>
      <c r="T276" s="55"/>
      <c r="U276" s="55"/>
      <c r="V276" s="55"/>
      <c r="W276" s="55"/>
      <c r="X276" s="55"/>
      <c r="Y276" s="55"/>
      <c r="Z276" s="55"/>
      <c r="AA276" s="51">
        <v>1</v>
      </c>
      <c r="AB276" s="55"/>
      <c r="AC276" s="55"/>
      <c r="AD276" s="55"/>
      <c r="AE276" s="55"/>
      <c r="AF276" s="61"/>
      <c r="AG276" s="2">
        <f t="shared" si="10"/>
        <v>1</v>
      </c>
      <c r="AH276" s="78">
        <f t="shared" si="11"/>
        <v>9</v>
      </c>
    </row>
    <row r="277" spans="1:34" s="9" customFormat="1" x14ac:dyDescent="0.45">
      <c r="A277" s="64"/>
      <c r="B277" s="13"/>
      <c r="C277" s="64" t="s">
        <v>550</v>
      </c>
      <c r="D277" s="64"/>
      <c r="E277" s="13" t="str">
        <f>IF(ISBLANK(A277),"neu",IF(ISBLANK(C277),"weg",IF(A277&lt;&gt;C277,"geändert","")))</f>
        <v>neu</v>
      </c>
      <c r="F277" s="64" t="s">
        <v>673</v>
      </c>
      <c r="G277" s="59" t="s">
        <v>540</v>
      </c>
      <c r="H277" s="88" t="s">
        <v>14</v>
      </c>
      <c r="I277" s="63"/>
      <c r="J277" s="121">
        <v>1</v>
      </c>
      <c r="K277" s="122">
        <v>1</v>
      </c>
      <c r="L277" s="122">
        <v>1</v>
      </c>
      <c r="M277" s="122"/>
      <c r="N277" s="122">
        <v>1</v>
      </c>
      <c r="O277" s="122">
        <v>1</v>
      </c>
      <c r="P277" s="122">
        <v>1</v>
      </c>
      <c r="Q277" s="122"/>
      <c r="R277" s="74">
        <v>1</v>
      </c>
      <c r="S277" s="55"/>
      <c r="T277" s="55"/>
      <c r="U277" s="55"/>
      <c r="V277" s="55"/>
      <c r="W277" s="55"/>
      <c r="X277" s="55"/>
      <c r="Y277" s="55"/>
      <c r="Z277" s="55"/>
      <c r="AA277" s="51">
        <v>1</v>
      </c>
      <c r="AB277" s="55"/>
      <c r="AC277" s="55"/>
      <c r="AD277" s="55"/>
      <c r="AE277" s="55"/>
      <c r="AF277" s="61"/>
      <c r="AG277" s="2">
        <f t="shared" si="10"/>
        <v>1</v>
      </c>
      <c r="AH277" s="78">
        <f t="shared" si="11"/>
        <v>9</v>
      </c>
    </row>
    <row r="278" spans="1:34" s="9" customFormat="1" x14ac:dyDescent="0.45">
      <c r="A278" s="71" t="s">
        <v>601</v>
      </c>
      <c r="B278" s="13"/>
      <c r="C278" s="16" t="s">
        <v>551</v>
      </c>
      <c r="D278" s="16"/>
      <c r="E278" s="13" t="str">
        <f>IF(ISBLANK(A278),"neu",IF(ISBLANK(C278),"weg",IF(A278&lt;&gt;C278,"geändert","")))</f>
        <v>geändert</v>
      </c>
      <c r="F278" s="49" t="s">
        <v>665</v>
      </c>
      <c r="G278" s="49"/>
      <c r="H278" s="49" t="s">
        <v>13</v>
      </c>
      <c r="I278" s="50"/>
      <c r="J278" s="118">
        <v>1</v>
      </c>
      <c r="K278" s="119">
        <v>1</v>
      </c>
      <c r="L278" s="119"/>
      <c r="M278" s="119"/>
      <c r="N278" s="119"/>
      <c r="O278" s="119"/>
      <c r="P278" s="119"/>
      <c r="Q278" s="119"/>
      <c r="R278" s="74">
        <v>1</v>
      </c>
      <c r="S278" s="65">
        <v>1</v>
      </c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50"/>
      <c r="AG278" s="2">
        <f t="shared" si="10"/>
        <v>1</v>
      </c>
      <c r="AH278" s="78">
        <f t="shared" si="11"/>
        <v>1</v>
      </c>
    </row>
    <row r="279" spans="1:34" s="9" customFormat="1" x14ac:dyDescent="0.45">
      <c r="A279" s="16" t="s">
        <v>552</v>
      </c>
      <c r="B279" s="13"/>
      <c r="C279" s="16" t="s">
        <v>552</v>
      </c>
      <c r="D279" s="16"/>
      <c r="E279" s="13" t="str">
        <f>IF(ISBLANK(A279),"neu",IF(ISBLANK(C279),"weg",IF(A279&lt;&gt;C279,"geändert","")))</f>
        <v/>
      </c>
      <c r="F279" s="49" t="s">
        <v>641</v>
      </c>
      <c r="G279" s="49"/>
      <c r="H279" s="49" t="s">
        <v>14</v>
      </c>
      <c r="I279" s="50"/>
      <c r="J279" s="118">
        <v>1</v>
      </c>
      <c r="K279" s="119">
        <v>1</v>
      </c>
      <c r="L279" s="119"/>
      <c r="M279" s="119"/>
      <c r="N279" s="119"/>
      <c r="O279" s="119"/>
      <c r="P279" s="119"/>
      <c r="Q279" s="119"/>
      <c r="R279" s="74">
        <v>1</v>
      </c>
      <c r="S279" s="65">
        <v>1</v>
      </c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50"/>
      <c r="AG279" s="2">
        <f t="shared" si="10"/>
        <v>1</v>
      </c>
      <c r="AH279" s="78">
        <f t="shared" si="11"/>
        <v>1</v>
      </c>
    </row>
    <row r="280" spans="1:34" s="9" customFormat="1" x14ac:dyDescent="0.45">
      <c r="A280" s="39" t="s">
        <v>553</v>
      </c>
      <c r="B280" s="13"/>
      <c r="C280" s="39" t="s">
        <v>553</v>
      </c>
      <c r="D280" s="39"/>
      <c r="E280" s="13" t="str">
        <f>IF(ISBLANK(A280),"neu",IF(ISBLANK(C280),"weg",IF(A280&lt;&gt;C280,"geändert","")))</f>
        <v/>
      </c>
      <c r="F280" s="55" t="s">
        <v>621</v>
      </c>
      <c r="G280" s="55"/>
      <c r="H280" s="39" t="s">
        <v>15</v>
      </c>
      <c r="I280" s="56"/>
      <c r="J280" s="116">
        <v>1</v>
      </c>
      <c r="K280" s="120">
        <v>1</v>
      </c>
      <c r="L280" s="120"/>
      <c r="M280" s="120"/>
      <c r="N280" s="120"/>
      <c r="O280" s="120"/>
      <c r="P280" s="120"/>
      <c r="Q280" s="120"/>
      <c r="R280" s="74">
        <v>1</v>
      </c>
      <c r="S280" s="65">
        <v>1</v>
      </c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61"/>
      <c r="AG280" s="2">
        <f t="shared" si="10"/>
        <v>1</v>
      </c>
      <c r="AH280" s="78">
        <f t="shared" si="11"/>
        <v>1</v>
      </c>
    </row>
    <row r="281" spans="1:34" s="9" customFormat="1" x14ac:dyDescent="0.45">
      <c r="A281" s="39" t="s">
        <v>554</v>
      </c>
      <c r="B281" s="13"/>
      <c r="C281" s="39" t="s">
        <v>554</v>
      </c>
      <c r="D281" s="39"/>
      <c r="E281" s="13" t="str">
        <f>IF(ISBLANK(A281),"neu",IF(ISBLANK(C281),"weg",IF(A281&lt;&gt;C281,"geändert","")))</f>
        <v/>
      </c>
      <c r="F281" s="55" t="s">
        <v>622</v>
      </c>
      <c r="G281" s="55"/>
      <c r="H281" s="39" t="s">
        <v>15</v>
      </c>
      <c r="I281" s="56"/>
      <c r="J281" s="116">
        <v>1</v>
      </c>
      <c r="K281" s="120">
        <v>1</v>
      </c>
      <c r="L281" s="120"/>
      <c r="M281" s="120"/>
      <c r="N281" s="120"/>
      <c r="O281" s="120"/>
      <c r="P281" s="120"/>
      <c r="Q281" s="120"/>
      <c r="R281" s="74">
        <v>1</v>
      </c>
      <c r="S281" s="65">
        <v>1</v>
      </c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61"/>
      <c r="AG281" s="2">
        <f t="shared" si="10"/>
        <v>1</v>
      </c>
      <c r="AH281" s="78">
        <f t="shared" si="11"/>
        <v>1</v>
      </c>
    </row>
    <row r="282" spans="1:34" s="9" customFormat="1" x14ac:dyDescent="0.45">
      <c r="A282" s="39" t="s">
        <v>555</v>
      </c>
      <c r="B282" s="13"/>
      <c r="C282" s="39" t="s">
        <v>555</v>
      </c>
      <c r="D282" s="39"/>
      <c r="E282" s="13" t="str">
        <f>IF(ISBLANK(A282),"neu",IF(ISBLANK(C282),"weg",IF(A282&lt;&gt;C282,"geändert","")))</f>
        <v/>
      </c>
      <c r="F282" s="55" t="s">
        <v>623</v>
      </c>
      <c r="G282" s="55"/>
      <c r="H282" s="39" t="s">
        <v>15</v>
      </c>
      <c r="I282" s="56"/>
      <c r="J282" s="116">
        <v>1</v>
      </c>
      <c r="K282" s="120">
        <v>1</v>
      </c>
      <c r="L282" s="120"/>
      <c r="M282" s="120"/>
      <c r="N282" s="120"/>
      <c r="O282" s="120"/>
      <c r="P282" s="120"/>
      <c r="Q282" s="120"/>
      <c r="R282" s="74">
        <v>1</v>
      </c>
      <c r="S282" s="65">
        <v>1</v>
      </c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61"/>
      <c r="AG282" s="2">
        <f t="shared" si="10"/>
        <v>1</v>
      </c>
      <c r="AH282" s="78">
        <f t="shared" si="11"/>
        <v>1</v>
      </c>
    </row>
    <row r="283" spans="1:34" s="9" customFormat="1" x14ac:dyDescent="0.45">
      <c r="A283" s="39" t="s">
        <v>556</v>
      </c>
      <c r="B283" s="13"/>
      <c r="C283" s="39" t="s">
        <v>556</v>
      </c>
      <c r="D283" s="39"/>
      <c r="E283" s="13" t="str">
        <f>IF(ISBLANK(A283),"neu",IF(ISBLANK(C283),"weg",IF(A283&lt;&gt;C283,"geändert","")))</f>
        <v/>
      </c>
      <c r="F283" s="55" t="s">
        <v>624</v>
      </c>
      <c r="G283" s="55"/>
      <c r="H283" s="39" t="s">
        <v>15</v>
      </c>
      <c r="I283" s="56"/>
      <c r="J283" s="116">
        <v>1</v>
      </c>
      <c r="K283" s="120">
        <v>1</v>
      </c>
      <c r="L283" s="120"/>
      <c r="M283" s="120"/>
      <c r="N283" s="120"/>
      <c r="O283" s="120"/>
      <c r="P283" s="120"/>
      <c r="Q283" s="120"/>
      <c r="R283" s="74">
        <v>1</v>
      </c>
      <c r="S283" s="65">
        <v>1</v>
      </c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61"/>
      <c r="AG283" s="2">
        <f t="shared" si="10"/>
        <v>1</v>
      </c>
      <c r="AH283" s="78">
        <f t="shared" si="11"/>
        <v>1</v>
      </c>
    </row>
    <row r="284" spans="1:34" s="9" customFormat="1" x14ac:dyDescent="0.45">
      <c r="A284" s="16" t="s">
        <v>557</v>
      </c>
      <c r="B284" s="13"/>
      <c r="C284" s="16" t="s">
        <v>557</v>
      </c>
      <c r="D284" s="16"/>
      <c r="E284" s="13" t="str">
        <f>IF(ISBLANK(A284),"neu",IF(ISBLANK(C284),"weg",IF(A284&lt;&gt;C284,"geändert","")))</f>
        <v/>
      </c>
      <c r="F284" s="49" t="s">
        <v>666</v>
      </c>
      <c r="G284" s="49"/>
      <c r="H284" s="49" t="s">
        <v>13</v>
      </c>
      <c r="I284" s="50"/>
      <c r="J284" s="118">
        <v>1</v>
      </c>
      <c r="K284" s="119">
        <v>1</v>
      </c>
      <c r="L284" s="119"/>
      <c r="M284" s="119"/>
      <c r="N284" s="119"/>
      <c r="O284" s="119"/>
      <c r="P284" s="119"/>
      <c r="Q284" s="119"/>
      <c r="R284" s="74">
        <v>1</v>
      </c>
      <c r="S284" s="49"/>
      <c r="T284" s="49"/>
      <c r="U284" s="51">
        <v>1</v>
      </c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50"/>
      <c r="AG284" s="2">
        <f t="shared" si="10"/>
        <v>1</v>
      </c>
      <c r="AH284" s="78">
        <f t="shared" si="11"/>
        <v>3</v>
      </c>
    </row>
    <row r="285" spans="1:34" s="9" customFormat="1" x14ac:dyDescent="0.45">
      <c r="A285" s="16" t="s">
        <v>558</v>
      </c>
      <c r="B285" s="13"/>
      <c r="C285" s="16" t="s">
        <v>558</v>
      </c>
      <c r="D285" s="16"/>
      <c r="E285" s="13" t="str">
        <f>IF(ISBLANK(A285),"neu",IF(ISBLANK(C285),"weg",IF(A285&lt;&gt;C285,"geändert","")))</f>
        <v/>
      </c>
      <c r="F285" s="49" t="s">
        <v>667</v>
      </c>
      <c r="G285" s="49"/>
      <c r="H285" s="49" t="s">
        <v>13</v>
      </c>
      <c r="I285" s="50"/>
      <c r="J285" s="118">
        <v>1</v>
      </c>
      <c r="K285" s="119">
        <v>1</v>
      </c>
      <c r="L285" s="119"/>
      <c r="M285" s="119"/>
      <c r="N285" s="119"/>
      <c r="O285" s="119"/>
      <c r="P285" s="119"/>
      <c r="Q285" s="119"/>
      <c r="R285" s="74">
        <v>1</v>
      </c>
      <c r="S285" s="49"/>
      <c r="T285" s="49"/>
      <c r="U285" s="51">
        <v>1</v>
      </c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50"/>
      <c r="AG285" s="2">
        <f t="shared" si="10"/>
        <v>1</v>
      </c>
      <c r="AH285" s="78">
        <f t="shared" si="11"/>
        <v>3</v>
      </c>
    </row>
    <row r="286" spans="1:34" s="9" customFormat="1" x14ac:dyDescent="0.45">
      <c r="A286" s="20"/>
      <c r="B286" s="13"/>
      <c r="C286" s="20" t="s">
        <v>559</v>
      </c>
      <c r="D286" s="20"/>
      <c r="E286" s="13" t="str">
        <f>IF(ISBLANK(A286),"neu",IF(ISBLANK(C286),"weg",IF(A286&lt;&gt;C286,"geändert","")))</f>
        <v>neu</v>
      </c>
      <c r="F286" s="20" t="s">
        <v>674</v>
      </c>
      <c r="G286" s="66" t="s">
        <v>560</v>
      </c>
      <c r="H286" s="88" t="s">
        <v>14</v>
      </c>
      <c r="I286" s="63"/>
      <c r="J286" s="121">
        <v>1</v>
      </c>
      <c r="K286" s="122">
        <v>1</v>
      </c>
      <c r="L286" s="122">
        <v>1</v>
      </c>
      <c r="M286" s="122"/>
      <c r="N286" s="122"/>
      <c r="O286" s="122"/>
      <c r="P286" s="122"/>
      <c r="Q286" s="122"/>
      <c r="R286" s="74">
        <v>1</v>
      </c>
      <c r="S286" s="49"/>
      <c r="T286" s="51">
        <v>1</v>
      </c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50"/>
      <c r="AG286" s="2">
        <f t="shared" si="10"/>
        <v>1</v>
      </c>
      <c r="AH286" s="78">
        <f t="shared" si="11"/>
        <v>2</v>
      </c>
    </row>
    <row r="287" spans="1:34" s="9" customFormat="1" x14ac:dyDescent="0.45">
      <c r="A287" s="20"/>
      <c r="B287" s="13"/>
      <c r="C287" s="20" t="s">
        <v>561</v>
      </c>
      <c r="D287" s="20"/>
      <c r="E287" s="13" t="str">
        <f>IF(ISBLANK(A287),"neu",IF(ISBLANK(C287),"weg",IF(A287&lt;&gt;C287,"geändert","")))</f>
        <v>neu</v>
      </c>
      <c r="F287" s="20" t="s">
        <v>675</v>
      </c>
      <c r="G287" s="66" t="s">
        <v>560</v>
      </c>
      <c r="H287" s="88" t="s">
        <v>14</v>
      </c>
      <c r="I287" s="63"/>
      <c r="J287" s="121">
        <v>1</v>
      </c>
      <c r="K287" s="122">
        <v>1</v>
      </c>
      <c r="L287" s="122">
        <v>1</v>
      </c>
      <c r="M287" s="122"/>
      <c r="N287" s="122"/>
      <c r="O287" s="122"/>
      <c r="P287" s="122"/>
      <c r="Q287" s="122"/>
      <c r="R287" s="74">
        <v>1</v>
      </c>
      <c r="S287" s="49"/>
      <c r="T287" s="51">
        <v>1</v>
      </c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50"/>
      <c r="AG287" s="2">
        <f t="shared" si="10"/>
        <v>1</v>
      </c>
      <c r="AH287" s="78">
        <f t="shared" si="11"/>
        <v>2</v>
      </c>
    </row>
    <row r="288" spans="1:34" s="9" customFormat="1" x14ac:dyDescent="0.45">
      <c r="A288" s="39" t="s">
        <v>562</v>
      </c>
      <c r="B288" s="13"/>
      <c r="C288" s="39" t="s">
        <v>562</v>
      </c>
      <c r="D288" s="39"/>
      <c r="E288" s="13" t="str">
        <f>IF(ISBLANK(A288),"neu",IF(ISBLANK(C288),"weg",IF(A288&lt;&gt;C288,"geändert","")))</f>
        <v/>
      </c>
      <c r="F288" s="55" t="s">
        <v>625</v>
      </c>
      <c r="G288" s="55"/>
      <c r="H288" s="39" t="s">
        <v>15</v>
      </c>
      <c r="I288" s="56"/>
      <c r="J288" s="116">
        <v>1</v>
      </c>
      <c r="K288" s="120">
        <v>1</v>
      </c>
      <c r="L288" s="120"/>
      <c r="M288" s="120"/>
      <c r="N288" s="120"/>
      <c r="O288" s="120"/>
      <c r="P288" s="120"/>
      <c r="Q288" s="120"/>
      <c r="R288" s="74">
        <v>1</v>
      </c>
      <c r="S288" s="55"/>
      <c r="T288" s="55"/>
      <c r="U288" s="57">
        <v>1</v>
      </c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61"/>
      <c r="AG288" s="2">
        <f t="shared" si="10"/>
        <v>1</v>
      </c>
      <c r="AH288" s="78">
        <f t="shared" si="11"/>
        <v>3</v>
      </c>
    </row>
    <row r="289" spans="1:34" s="9" customFormat="1" x14ac:dyDescent="0.45">
      <c r="A289" s="20"/>
      <c r="B289" s="13"/>
      <c r="C289" s="20" t="s">
        <v>563</v>
      </c>
      <c r="D289" s="20"/>
      <c r="E289" s="13" t="str">
        <f>IF(ISBLANK(A289),"neu",IF(ISBLANK(C289),"weg",IF(A289&lt;&gt;C289,"geändert","")))</f>
        <v>neu</v>
      </c>
      <c r="F289" s="20" t="s">
        <v>676</v>
      </c>
      <c r="G289" s="59" t="s">
        <v>540</v>
      </c>
      <c r="H289" s="88" t="s">
        <v>13</v>
      </c>
      <c r="I289" s="63"/>
      <c r="J289" s="121">
        <v>1</v>
      </c>
      <c r="K289" s="122">
        <v>1</v>
      </c>
      <c r="L289" s="122"/>
      <c r="M289" s="122"/>
      <c r="N289" s="122"/>
      <c r="O289" s="122"/>
      <c r="P289" s="122"/>
      <c r="Q289" s="122"/>
      <c r="R289" s="74">
        <v>1</v>
      </c>
      <c r="S289" s="55"/>
      <c r="T289" s="51">
        <v>1</v>
      </c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61"/>
      <c r="AG289" s="2">
        <f t="shared" si="10"/>
        <v>1</v>
      </c>
      <c r="AH289" s="78">
        <f t="shared" si="11"/>
        <v>2</v>
      </c>
    </row>
    <row r="290" spans="1:34" s="9" customFormat="1" x14ac:dyDescent="0.45">
      <c r="A290" s="16" t="s">
        <v>564</v>
      </c>
      <c r="B290" s="13"/>
      <c r="C290" s="16" t="s">
        <v>564</v>
      </c>
      <c r="D290" s="16"/>
      <c r="E290" s="13" t="str">
        <f>IF(ISBLANK(A290),"neu",IF(ISBLANK(C290),"weg",IF(A290&lt;&gt;C290,"geändert","")))</f>
        <v/>
      </c>
      <c r="F290" s="49" t="s">
        <v>668</v>
      </c>
      <c r="G290" s="49"/>
      <c r="H290" s="49" t="s">
        <v>13</v>
      </c>
      <c r="I290" s="50"/>
      <c r="J290" s="118">
        <v>1</v>
      </c>
      <c r="K290" s="119">
        <v>1</v>
      </c>
      <c r="L290" s="119"/>
      <c r="M290" s="119"/>
      <c r="N290" s="119"/>
      <c r="O290" s="119"/>
      <c r="P290" s="119"/>
      <c r="Q290" s="119"/>
      <c r="R290" s="74">
        <v>1</v>
      </c>
      <c r="S290" s="49"/>
      <c r="T290" s="49"/>
      <c r="U290" s="49"/>
      <c r="V290" s="49"/>
      <c r="W290" s="49"/>
      <c r="X290" s="49"/>
      <c r="Y290" s="49"/>
      <c r="Z290" s="51">
        <v>1</v>
      </c>
      <c r="AA290" s="49"/>
      <c r="AB290" s="49"/>
      <c r="AC290" s="49"/>
      <c r="AD290" s="49"/>
      <c r="AE290" s="49"/>
      <c r="AF290" s="50"/>
      <c r="AG290" s="2">
        <f t="shared" si="10"/>
        <v>1</v>
      </c>
      <c r="AH290" s="78">
        <f t="shared" si="11"/>
        <v>8</v>
      </c>
    </row>
    <row r="291" spans="1:34" s="9" customFormat="1" x14ac:dyDescent="0.45">
      <c r="A291" s="16" t="s">
        <v>565</v>
      </c>
      <c r="B291" s="13"/>
      <c r="C291" s="16" t="s">
        <v>565</v>
      </c>
      <c r="D291" s="16"/>
      <c r="E291" s="13" t="str">
        <f>IF(ISBLANK(A291),"neu",IF(ISBLANK(C291),"weg",IF(A291&lt;&gt;C291,"geändert","")))</f>
        <v/>
      </c>
      <c r="F291" s="49" t="s">
        <v>669</v>
      </c>
      <c r="G291" s="49"/>
      <c r="H291" s="49" t="s">
        <v>13</v>
      </c>
      <c r="I291" s="50"/>
      <c r="J291" s="118">
        <v>1</v>
      </c>
      <c r="K291" s="119">
        <v>1</v>
      </c>
      <c r="L291" s="119"/>
      <c r="M291" s="119"/>
      <c r="N291" s="119"/>
      <c r="O291" s="119"/>
      <c r="P291" s="119"/>
      <c r="Q291" s="119"/>
      <c r="R291" s="74">
        <v>1</v>
      </c>
      <c r="S291" s="49"/>
      <c r="T291" s="49"/>
      <c r="U291" s="49"/>
      <c r="V291" s="49"/>
      <c r="W291" s="49"/>
      <c r="X291" s="49"/>
      <c r="Y291" s="49"/>
      <c r="Z291" s="51">
        <v>1</v>
      </c>
      <c r="AA291" s="49"/>
      <c r="AB291" s="49"/>
      <c r="AC291" s="49"/>
      <c r="AD291" s="49"/>
      <c r="AE291" s="49"/>
      <c r="AF291" s="50"/>
      <c r="AG291" s="2">
        <f t="shared" si="10"/>
        <v>1</v>
      </c>
      <c r="AH291" s="78">
        <f t="shared" si="11"/>
        <v>8</v>
      </c>
    </row>
    <row r="292" spans="1:34" s="9" customFormat="1" x14ac:dyDescent="0.45">
      <c r="A292" s="16" t="s">
        <v>566</v>
      </c>
      <c r="B292" s="13"/>
      <c r="C292" s="16" t="s">
        <v>566</v>
      </c>
      <c r="D292" s="16"/>
      <c r="E292" s="13" t="str">
        <f>IF(ISBLANK(A292),"neu",IF(ISBLANK(C292),"weg",IF(A292&lt;&gt;C292,"geändert","")))</f>
        <v/>
      </c>
      <c r="F292" s="49" t="s">
        <v>642</v>
      </c>
      <c r="G292" s="49"/>
      <c r="H292" s="49" t="s">
        <v>14</v>
      </c>
      <c r="I292" s="50"/>
      <c r="J292" s="118">
        <v>1</v>
      </c>
      <c r="K292" s="119">
        <v>1</v>
      </c>
      <c r="L292" s="119"/>
      <c r="M292" s="119"/>
      <c r="N292" s="119"/>
      <c r="O292" s="119"/>
      <c r="P292" s="119"/>
      <c r="Q292" s="119"/>
      <c r="R292" s="74">
        <v>1</v>
      </c>
      <c r="S292" s="49"/>
      <c r="T292" s="49"/>
      <c r="U292" s="49"/>
      <c r="V292" s="49"/>
      <c r="W292" s="49"/>
      <c r="X292" s="49"/>
      <c r="Y292" s="49"/>
      <c r="Z292" s="51">
        <v>1</v>
      </c>
      <c r="AA292" s="49"/>
      <c r="AB292" s="49"/>
      <c r="AC292" s="49"/>
      <c r="AD292" s="49"/>
      <c r="AE292" s="49"/>
      <c r="AF292" s="50"/>
      <c r="AG292" s="2">
        <f t="shared" ref="AG292:AG355" si="12">IF(SUM(S292:AF292)&gt;0,SUM(S292:AF292),"")</f>
        <v>1</v>
      </c>
      <c r="AH292" s="78">
        <f t="shared" ref="AH292:AH355" si="13">IF(SUM(S292:AF292)&lt;1,"",S292*1+T292*2+U292*3+V292*4+W292*5+X292*6+Y292*7+Z292*8+AA292*9+AB292*10+AC292*11+AD292*12+AE292*13+AF292*14)</f>
        <v>8</v>
      </c>
    </row>
    <row r="293" spans="1:34" s="9" customFormat="1" x14ac:dyDescent="0.45">
      <c r="A293" s="16" t="s">
        <v>567</v>
      </c>
      <c r="B293" s="13"/>
      <c r="C293" s="16" t="s">
        <v>567</v>
      </c>
      <c r="D293" s="16"/>
      <c r="E293" s="13" t="str">
        <f>IF(ISBLANK(A293),"neu",IF(ISBLANK(C293),"weg",IF(A293&lt;&gt;C293,"geändert","")))</f>
        <v/>
      </c>
      <c r="F293" s="49" t="s">
        <v>643</v>
      </c>
      <c r="G293" s="49"/>
      <c r="H293" s="49" t="s">
        <v>14</v>
      </c>
      <c r="I293" s="50"/>
      <c r="J293" s="118">
        <v>1</v>
      </c>
      <c r="K293" s="119">
        <v>1</v>
      </c>
      <c r="L293" s="1">
        <v>1</v>
      </c>
      <c r="M293" s="119"/>
      <c r="N293" s="1">
        <v>1</v>
      </c>
      <c r="O293" s="1">
        <v>1</v>
      </c>
      <c r="P293" s="1">
        <v>1</v>
      </c>
      <c r="Q293" s="1"/>
      <c r="R293" s="74">
        <v>1</v>
      </c>
      <c r="S293" s="49"/>
      <c r="T293" s="49"/>
      <c r="U293" s="49"/>
      <c r="V293" s="49"/>
      <c r="W293" s="49"/>
      <c r="X293" s="49"/>
      <c r="Y293" s="49"/>
      <c r="Z293" s="51">
        <v>1</v>
      </c>
      <c r="AA293" s="49"/>
      <c r="AB293" s="49"/>
      <c r="AC293" s="49"/>
      <c r="AD293" s="49"/>
      <c r="AE293" s="49"/>
      <c r="AF293" s="50"/>
      <c r="AG293" s="2">
        <f t="shared" si="12"/>
        <v>1</v>
      </c>
      <c r="AH293" s="78">
        <f t="shared" si="13"/>
        <v>8</v>
      </c>
    </row>
    <row r="294" spans="1:34" s="9" customFormat="1" x14ac:dyDescent="0.45">
      <c r="A294" s="39" t="s">
        <v>568</v>
      </c>
      <c r="B294" s="13"/>
      <c r="C294" s="39" t="s">
        <v>568</v>
      </c>
      <c r="D294" s="39"/>
      <c r="E294" s="13" t="str">
        <f>IF(ISBLANK(A294),"neu",IF(ISBLANK(C294),"weg",IF(A294&lt;&gt;C294,"geändert","")))</f>
        <v/>
      </c>
      <c r="F294" s="55" t="s">
        <v>626</v>
      </c>
      <c r="G294" s="55"/>
      <c r="H294" s="39" t="s">
        <v>15</v>
      </c>
      <c r="I294" s="56"/>
      <c r="J294" s="116">
        <v>1</v>
      </c>
      <c r="K294" s="120">
        <v>1</v>
      </c>
      <c r="L294" s="1"/>
      <c r="M294" s="120"/>
      <c r="N294" s="1"/>
      <c r="O294" s="1"/>
      <c r="P294" s="1"/>
      <c r="Q294" s="1"/>
      <c r="R294" s="74">
        <v>1</v>
      </c>
      <c r="S294" s="55"/>
      <c r="T294" s="55"/>
      <c r="U294" s="55"/>
      <c r="V294" s="55"/>
      <c r="W294" s="55"/>
      <c r="X294" s="55"/>
      <c r="Y294" s="55"/>
      <c r="Z294" s="60">
        <v>1</v>
      </c>
      <c r="AA294" s="55"/>
      <c r="AB294" s="55"/>
      <c r="AC294" s="55"/>
      <c r="AD294" s="55"/>
      <c r="AE294" s="55"/>
      <c r="AF294" s="61"/>
      <c r="AG294" s="2">
        <f t="shared" si="12"/>
        <v>1</v>
      </c>
      <c r="AH294" s="78">
        <f t="shared" si="13"/>
        <v>8</v>
      </c>
    </row>
    <row r="295" spans="1:34" s="9" customFormat="1" x14ac:dyDescent="0.45">
      <c r="A295" s="39" t="s">
        <v>569</v>
      </c>
      <c r="B295" s="13"/>
      <c r="C295" s="39" t="s">
        <v>569</v>
      </c>
      <c r="D295" s="39"/>
      <c r="E295" s="13" t="str">
        <f>IF(ISBLANK(A295),"neu",IF(ISBLANK(C295),"weg",IF(A295&lt;&gt;C295,"geändert","")))</f>
        <v/>
      </c>
      <c r="F295" s="55" t="s">
        <v>627</v>
      </c>
      <c r="G295" s="55"/>
      <c r="H295" s="39" t="s">
        <v>15</v>
      </c>
      <c r="I295" s="56"/>
      <c r="J295" s="116">
        <v>1</v>
      </c>
      <c r="K295" s="120">
        <v>1</v>
      </c>
      <c r="L295" s="1">
        <v>1</v>
      </c>
      <c r="M295" s="120"/>
      <c r="N295" s="1">
        <v>1</v>
      </c>
      <c r="O295" s="1">
        <v>1</v>
      </c>
      <c r="P295" s="1">
        <v>1</v>
      </c>
      <c r="Q295" s="1"/>
      <c r="R295" s="74">
        <v>1</v>
      </c>
      <c r="S295" s="55"/>
      <c r="T295" s="55"/>
      <c r="U295" s="55"/>
      <c r="V295" s="55"/>
      <c r="W295" s="55"/>
      <c r="X295" s="55"/>
      <c r="Y295" s="55"/>
      <c r="Z295" s="60">
        <v>1</v>
      </c>
      <c r="AA295" s="55"/>
      <c r="AB295" s="55"/>
      <c r="AC295" s="55"/>
      <c r="AD295" s="55"/>
      <c r="AE295" s="55"/>
      <c r="AF295" s="61"/>
      <c r="AG295" s="2">
        <f t="shared" si="12"/>
        <v>1</v>
      </c>
      <c r="AH295" s="78">
        <f t="shared" si="13"/>
        <v>8</v>
      </c>
    </row>
    <row r="296" spans="1:34" s="9" customFormat="1" x14ac:dyDescent="0.45">
      <c r="A296" s="20"/>
      <c r="B296" s="13"/>
      <c r="C296" s="20" t="s">
        <v>570</v>
      </c>
      <c r="D296" s="20"/>
      <c r="E296" s="13" t="str">
        <f>IF(ISBLANK(A296),"neu",IF(ISBLANK(C296),"weg",IF(A296&lt;&gt;C296,"geändert","")))</f>
        <v>neu</v>
      </c>
      <c r="F296" s="20" t="s">
        <v>677</v>
      </c>
      <c r="G296" s="59" t="s">
        <v>540</v>
      </c>
      <c r="H296" s="88" t="s">
        <v>13</v>
      </c>
      <c r="I296" s="63"/>
      <c r="J296" s="121">
        <v>1</v>
      </c>
      <c r="K296" s="122">
        <v>1</v>
      </c>
      <c r="L296" s="1">
        <v>1</v>
      </c>
      <c r="M296" s="122"/>
      <c r="N296" s="1">
        <v>1</v>
      </c>
      <c r="O296" s="1">
        <v>1</v>
      </c>
      <c r="P296" s="1">
        <v>1</v>
      </c>
      <c r="Q296" s="1"/>
      <c r="R296" s="74">
        <v>1</v>
      </c>
      <c r="S296" s="55"/>
      <c r="T296" s="55"/>
      <c r="U296" s="55"/>
      <c r="V296" s="55"/>
      <c r="W296" s="55"/>
      <c r="X296" s="55"/>
      <c r="Y296" s="55"/>
      <c r="Z296" s="51">
        <v>1</v>
      </c>
      <c r="AA296" s="55"/>
      <c r="AB296" s="55"/>
      <c r="AC296" s="55"/>
      <c r="AD296" s="55"/>
      <c r="AE296" s="55"/>
      <c r="AF296" s="61"/>
      <c r="AG296" s="2">
        <f t="shared" si="12"/>
        <v>1</v>
      </c>
      <c r="AH296" s="78">
        <f t="shared" si="13"/>
        <v>8</v>
      </c>
    </row>
    <row r="297" spans="1:34" s="9" customFormat="1" x14ac:dyDescent="0.45">
      <c r="A297" s="20"/>
      <c r="B297" s="13"/>
      <c r="C297" s="20" t="s">
        <v>571</v>
      </c>
      <c r="D297" s="20"/>
      <c r="E297" s="13" t="str">
        <f>IF(ISBLANK(A297),"neu",IF(ISBLANK(C297),"weg",IF(A297&lt;&gt;C297,"geändert","")))</f>
        <v>neu</v>
      </c>
      <c r="F297" s="20" t="s">
        <v>678</v>
      </c>
      <c r="G297" s="59" t="s">
        <v>540</v>
      </c>
      <c r="H297" s="88" t="s">
        <v>14</v>
      </c>
      <c r="I297" s="63"/>
      <c r="J297" s="121">
        <v>1</v>
      </c>
      <c r="K297" s="122">
        <v>1</v>
      </c>
      <c r="L297" s="1">
        <v>1</v>
      </c>
      <c r="M297" s="122"/>
      <c r="N297" s="1">
        <v>1</v>
      </c>
      <c r="O297" s="1">
        <v>1</v>
      </c>
      <c r="P297" s="1">
        <v>1</v>
      </c>
      <c r="Q297" s="1"/>
      <c r="R297" s="74">
        <v>1</v>
      </c>
      <c r="S297" s="55"/>
      <c r="T297" s="55"/>
      <c r="U297" s="55"/>
      <c r="V297" s="55"/>
      <c r="W297" s="55"/>
      <c r="X297" s="55"/>
      <c r="Y297" s="55"/>
      <c r="Z297" s="51">
        <v>1</v>
      </c>
      <c r="AA297" s="55"/>
      <c r="AB297" s="55"/>
      <c r="AC297" s="55"/>
      <c r="AD297" s="55"/>
      <c r="AE297" s="55"/>
      <c r="AF297" s="61"/>
      <c r="AG297" s="2">
        <f t="shared" si="12"/>
        <v>1</v>
      </c>
      <c r="AH297" s="78">
        <f t="shared" si="13"/>
        <v>8</v>
      </c>
    </row>
    <row r="298" spans="1:34" s="9" customFormat="1" x14ac:dyDescent="0.45">
      <c r="A298" s="39" t="s">
        <v>572</v>
      </c>
      <c r="B298" s="13"/>
      <c r="C298" s="39" t="s">
        <v>572</v>
      </c>
      <c r="D298" s="39"/>
      <c r="E298" s="13" t="str">
        <f>IF(ISBLANK(A298),"neu",IF(ISBLANK(C298),"weg",IF(A298&lt;&gt;C298,"geändert","")))</f>
        <v/>
      </c>
      <c r="F298" s="55"/>
      <c r="G298" s="59" t="s">
        <v>540</v>
      </c>
      <c r="H298" s="39" t="s">
        <v>15</v>
      </c>
      <c r="I298" s="56"/>
      <c r="J298" s="123"/>
      <c r="K298" s="120">
        <v>1</v>
      </c>
      <c r="L298" s="1">
        <v>1</v>
      </c>
      <c r="M298" s="120"/>
      <c r="N298" s="1">
        <v>1</v>
      </c>
      <c r="O298" s="1">
        <v>1</v>
      </c>
      <c r="P298" s="1">
        <v>1</v>
      </c>
      <c r="Q298" s="1"/>
      <c r="R298" s="74">
        <v>1</v>
      </c>
      <c r="S298" s="55"/>
      <c r="T298" s="55"/>
      <c r="U298" s="55"/>
      <c r="V298" s="55"/>
      <c r="W298" s="55"/>
      <c r="X298" s="55"/>
      <c r="Y298" s="55"/>
      <c r="Z298" s="60">
        <v>1</v>
      </c>
      <c r="AA298" s="55"/>
      <c r="AB298" s="55"/>
      <c r="AC298" s="55"/>
      <c r="AD298" s="55"/>
      <c r="AE298" s="55"/>
      <c r="AF298" s="61"/>
      <c r="AG298" s="2">
        <f t="shared" si="12"/>
        <v>1</v>
      </c>
      <c r="AH298" s="78">
        <f t="shared" si="13"/>
        <v>8</v>
      </c>
    </row>
    <row r="299" spans="1:34" s="9" customFormat="1" x14ac:dyDescent="0.45">
      <c r="A299" s="71" t="s">
        <v>602</v>
      </c>
      <c r="B299" s="71" t="s">
        <v>604</v>
      </c>
      <c r="D299" s="71" t="s">
        <v>603</v>
      </c>
      <c r="E299" s="13" t="str">
        <f>IF(ISBLANK(A299),"neu",IF(ISBLANK(C299),"weg",IF(A299&lt;&gt;C299,"geändert","")))</f>
        <v>weg</v>
      </c>
      <c r="G299" s="49"/>
      <c r="H299" s="49"/>
      <c r="I299" s="50"/>
      <c r="J299" s="118"/>
      <c r="K299" s="119"/>
      <c r="L299" s="119"/>
      <c r="M299" s="119"/>
      <c r="N299" s="119"/>
      <c r="O299" s="119"/>
      <c r="P299" s="119"/>
      <c r="Q299" s="119"/>
      <c r="R299" s="74" t="s">
        <v>731</v>
      </c>
      <c r="S299" s="55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50"/>
      <c r="AG299" s="2" t="str">
        <f t="shared" ref="AG299" si="14">IF(SUM(S299:AF299)&gt;0,SUM(S299:AF299),"")</f>
        <v/>
      </c>
      <c r="AH299" s="78" t="str">
        <f t="shared" ref="AH299" si="15">IF(SUM(S299:AF299)&lt;1,"",S299*1+T299*2+U299*3+V299*4+W299*5+X299*6+Y299*7+Z299*8+AA299*9+AB299*10+AC299*11+AD299*12+AE299*13+AF299*14)</f>
        <v/>
      </c>
    </row>
    <row r="300" spans="1:34" s="9" customFormat="1" x14ac:dyDescent="0.45">
      <c r="A300" s="16" t="s">
        <v>573</v>
      </c>
      <c r="B300" s="13"/>
      <c r="C300" s="16" t="s">
        <v>573</v>
      </c>
      <c r="D300" s="16"/>
      <c r="E300" s="13" t="str">
        <f>IF(ISBLANK(A300),"neu",IF(ISBLANK(C300),"weg",IF(A300&lt;&gt;C300,"geändert","")))</f>
        <v/>
      </c>
      <c r="F300" s="49" t="s">
        <v>670</v>
      </c>
      <c r="G300" s="49"/>
      <c r="H300" s="49" t="s">
        <v>13</v>
      </c>
      <c r="I300" s="50"/>
      <c r="J300" s="118">
        <v>1</v>
      </c>
      <c r="K300" s="119">
        <v>1</v>
      </c>
      <c r="L300" s="1">
        <v>1</v>
      </c>
      <c r="M300" s="119"/>
      <c r="N300" s="1">
        <v>1</v>
      </c>
      <c r="O300" s="1">
        <v>1</v>
      </c>
      <c r="P300" s="1">
        <v>1</v>
      </c>
      <c r="Q300" s="1">
        <v>1</v>
      </c>
      <c r="R300" s="74">
        <v>1</v>
      </c>
      <c r="S300" s="51">
        <v>1</v>
      </c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50"/>
      <c r="AG300" s="2">
        <f t="shared" si="12"/>
        <v>1</v>
      </c>
      <c r="AH300" s="78">
        <f t="shared" si="13"/>
        <v>1</v>
      </c>
    </row>
    <row r="301" spans="1:34" s="9" customFormat="1" x14ac:dyDescent="0.45">
      <c r="A301" s="16" t="s">
        <v>574</v>
      </c>
      <c r="B301" s="13"/>
      <c r="C301" s="16" t="s">
        <v>574</v>
      </c>
      <c r="D301" s="16"/>
      <c r="E301" s="13" t="str">
        <f>IF(ISBLANK(A301),"neu",IF(ISBLANK(C301),"weg",IF(A301&lt;&gt;C301,"geändert","")))</f>
        <v/>
      </c>
      <c r="F301" s="58" t="s">
        <v>644</v>
      </c>
      <c r="G301" s="58"/>
      <c r="H301" s="58" t="s">
        <v>14</v>
      </c>
      <c r="I301" s="67"/>
      <c r="J301" s="124">
        <v>1</v>
      </c>
      <c r="K301" s="125">
        <v>1</v>
      </c>
      <c r="L301" s="1">
        <v>1</v>
      </c>
      <c r="M301" s="125"/>
      <c r="N301" s="1">
        <v>1</v>
      </c>
      <c r="O301" s="1">
        <v>1</v>
      </c>
      <c r="P301" s="1">
        <v>1</v>
      </c>
      <c r="Q301" s="1">
        <v>1</v>
      </c>
      <c r="R301" s="74">
        <v>1</v>
      </c>
      <c r="S301" s="68">
        <v>1</v>
      </c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67"/>
      <c r="AG301" s="2">
        <f t="shared" si="12"/>
        <v>1</v>
      </c>
      <c r="AH301" s="78">
        <f t="shared" si="13"/>
        <v>1</v>
      </c>
    </row>
    <row r="302" spans="1:34" s="9" customFormat="1" x14ac:dyDescent="0.45">
      <c r="A302" s="55" t="s">
        <v>575</v>
      </c>
      <c r="B302" s="13"/>
      <c r="C302" s="55" t="s">
        <v>575</v>
      </c>
      <c r="D302" s="55"/>
      <c r="E302" s="13" t="str">
        <f>IF(ISBLANK(A302),"neu",IF(ISBLANK(C302),"weg",IF(A302&lt;&gt;C302,"geändert","")))</f>
        <v/>
      </c>
      <c r="F302" s="39" t="s">
        <v>576</v>
      </c>
      <c r="G302" s="55"/>
      <c r="H302" s="49" t="s">
        <v>12</v>
      </c>
      <c r="I302" s="50"/>
      <c r="J302" s="116">
        <v>1</v>
      </c>
      <c r="K302" s="119">
        <v>1</v>
      </c>
      <c r="L302" s="119"/>
      <c r="M302" s="119"/>
      <c r="N302" s="119"/>
      <c r="O302" s="119"/>
      <c r="P302" s="119"/>
      <c r="Q302" s="119"/>
      <c r="R302" s="74">
        <v>1</v>
      </c>
      <c r="S302" s="49"/>
      <c r="T302" s="49"/>
      <c r="U302" s="49"/>
      <c r="V302" s="49"/>
      <c r="W302" s="60">
        <v>1</v>
      </c>
      <c r="X302" s="49"/>
      <c r="Y302" s="49"/>
      <c r="Z302" s="49"/>
      <c r="AA302" s="49"/>
      <c r="AB302" s="49"/>
      <c r="AC302" s="49"/>
      <c r="AD302" s="49"/>
      <c r="AE302" s="49"/>
      <c r="AF302" s="50"/>
      <c r="AG302" s="2">
        <f t="shared" si="12"/>
        <v>1</v>
      </c>
      <c r="AH302" s="78">
        <f t="shared" si="13"/>
        <v>5</v>
      </c>
    </row>
    <row r="303" spans="1:34" s="9" customFormat="1" x14ac:dyDescent="0.45">
      <c r="A303" s="55" t="s">
        <v>577</v>
      </c>
      <c r="B303" s="13"/>
      <c r="C303" s="55" t="s">
        <v>577</v>
      </c>
      <c r="D303" s="55"/>
      <c r="E303" s="13" t="str">
        <f>IF(ISBLANK(A303),"neu",IF(ISBLANK(C303),"weg",IF(A303&lt;&gt;C303,"geändert","")))</f>
        <v/>
      </c>
      <c r="F303" s="39" t="s">
        <v>578</v>
      </c>
      <c r="G303" s="55"/>
      <c r="H303" s="49" t="s">
        <v>12</v>
      </c>
      <c r="I303" s="50"/>
      <c r="J303" s="116">
        <v>1</v>
      </c>
      <c r="K303" s="119"/>
      <c r="L303" s="119"/>
      <c r="M303" s="119"/>
      <c r="N303" s="119"/>
      <c r="O303" s="119"/>
      <c r="P303" s="119"/>
      <c r="Q303" s="119"/>
      <c r="R303" s="74">
        <v>1</v>
      </c>
      <c r="S303" s="49"/>
      <c r="T303" s="49"/>
      <c r="U303" s="49"/>
      <c r="V303" s="49"/>
      <c r="W303" s="60">
        <v>1</v>
      </c>
      <c r="X303" s="49"/>
      <c r="Y303" s="49"/>
      <c r="Z303" s="49"/>
      <c r="AA303" s="49"/>
      <c r="AB303" s="49"/>
      <c r="AC303" s="49"/>
      <c r="AD303" s="49"/>
      <c r="AE303" s="49"/>
      <c r="AF303" s="50"/>
      <c r="AG303" s="2">
        <f t="shared" si="12"/>
        <v>1</v>
      </c>
      <c r="AH303" s="78">
        <f t="shared" si="13"/>
        <v>5</v>
      </c>
    </row>
    <row r="304" spans="1:34" s="9" customFormat="1" x14ac:dyDescent="0.45">
      <c r="A304" s="29"/>
      <c r="B304" s="13"/>
      <c r="C304" s="29" t="s">
        <v>579</v>
      </c>
      <c r="D304" s="29"/>
      <c r="E304" s="13" t="str">
        <f>IF(ISBLANK(A304),"neu",IF(ISBLANK(C304),"weg",IF(A304&lt;&gt;C304,"geändert","")))</f>
        <v>neu</v>
      </c>
      <c r="F304" s="29" t="s">
        <v>679</v>
      </c>
      <c r="G304" s="59" t="s">
        <v>580</v>
      </c>
      <c r="H304" s="88" t="s">
        <v>11</v>
      </c>
      <c r="I304" s="63"/>
      <c r="J304" s="121">
        <v>1</v>
      </c>
      <c r="K304" s="122">
        <v>1</v>
      </c>
      <c r="L304" s="122"/>
      <c r="M304" s="122"/>
      <c r="N304" s="122"/>
      <c r="O304" s="122"/>
      <c r="P304" s="122"/>
      <c r="Q304" s="122"/>
      <c r="R304" s="74">
        <v>1</v>
      </c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51">
        <v>1</v>
      </c>
      <c r="AE304" s="49"/>
      <c r="AF304" s="50"/>
      <c r="AG304" s="2">
        <f t="shared" si="12"/>
        <v>1</v>
      </c>
      <c r="AH304" s="78">
        <f t="shared" si="13"/>
        <v>12</v>
      </c>
    </row>
    <row r="305" spans="1:34" s="9" customFormat="1" x14ac:dyDescent="0.45">
      <c r="A305" s="16" t="s">
        <v>136</v>
      </c>
      <c r="B305" s="13"/>
      <c r="C305" s="16" t="s">
        <v>302</v>
      </c>
      <c r="D305" s="16"/>
      <c r="E305" s="13" t="str">
        <f>IF(ISBLANK(A305),"neu",IF(ISBLANK(C305),"weg",IF(A305&lt;&gt;C305,"geändert","")))</f>
        <v>geändert</v>
      </c>
      <c r="F305" s="13"/>
      <c r="G305" s="13"/>
      <c r="H305" s="89" t="s">
        <v>13</v>
      </c>
      <c r="I305" s="36" t="s">
        <v>53</v>
      </c>
      <c r="J305" s="1"/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/>
      <c r="R305" s="74">
        <v>1</v>
      </c>
      <c r="S305" s="1"/>
      <c r="T305" s="1"/>
      <c r="U305" s="1"/>
      <c r="V305" s="83">
        <v>1</v>
      </c>
      <c r="W305" s="10"/>
      <c r="Y305" s="10"/>
      <c r="Z305" s="10"/>
      <c r="AA305" s="10"/>
      <c r="AB305" s="10"/>
      <c r="AC305" s="10"/>
      <c r="AD305" s="10"/>
      <c r="AE305" s="75"/>
      <c r="AF305" s="8"/>
      <c r="AG305" s="2">
        <f t="shared" si="12"/>
        <v>1</v>
      </c>
      <c r="AH305" s="78">
        <f t="shared" si="13"/>
        <v>4</v>
      </c>
    </row>
    <row r="306" spans="1:34" s="9" customFormat="1" x14ac:dyDescent="0.45">
      <c r="A306" s="16" t="s">
        <v>137</v>
      </c>
      <c r="B306" s="13"/>
      <c r="C306" s="16"/>
      <c r="D306" s="16"/>
      <c r="E306" s="13" t="str">
        <f>IF(ISBLANK(A306),"neu",IF(ISBLANK(C306),"weg",IF(A306&lt;&gt;C306,"geändert","")))</f>
        <v>weg</v>
      </c>
      <c r="F306" s="13"/>
      <c r="G306" s="13"/>
      <c r="H306"/>
      <c r="I306" s="7"/>
      <c r="J306" s="1"/>
      <c r="K306" s="1"/>
      <c r="L306" s="1"/>
      <c r="M306" s="1"/>
      <c r="N306" s="1"/>
      <c r="O306" s="1"/>
      <c r="P306" s="1"/>
      <c r="Q306" s="1"/>
      <c r="R306" s="74" t="s">
        <v>731</v>
      </c>
      <c r="S306" s="10"/>
      <c r="T306" s="10"/>
      <c r="U306" s="10"/>
      <c r="V306" s="10"/>
      <c r="W306" s="10"/>
      <c r="Y306" s="10"/>
      <c r="Z306" s="10"/>
      <c r="AA306" s="10"/>
      <c r="AB306" s="10"/>
      <c r="AC306" s="10"/>
      <c r="AD306" s="10"/>
      <c r="AE306" s="75"/>
      <c r="AF306" s="8"/>
      <c r="AG306" s="2" t="str">
        <f t="shared" si="12"/>
        <v/>
      </c>
      <c r="AH306" s="78" t="str">
        <f t="shared" si="13"/>
        <v/>
      </c>
    </row>
    <row r="307" spans="1:34" s="9" customFormat="1" x14ac:dyDescent="0.45">
      <c r="A307" s="16" t="s">
        <v>138</v>
      </c>
      <c r="B307" s="13"/>
      <c r="C307" s="16" t="s">
        <v>303</v>
      </c>
      <c r="D307" s="16"/>
      <c r="E307" s="13" t="str">
        <f>IF(ISBLANK(A307),"neu",IF(ISBLANK(C307),"weg",IF(A307&lt;&gt;C307,"geändert","")))</f>
        <v>geändert</v>
      </c>
      <c r="F307" s="13"/>
      <c r="G307" s="13"/>
      <c r="H307" s="89" t="s">
        <v>13</v>
      </c>
      <c r="I307" s="36" t="s">
        <v>53</v>
      </c>
      <c r="J307" s="1"/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/>
      <c r="R307" s="74">
        <v>1</v>
      </c>
      <c r="S307" s="1"/>
      <c r="T307" s="1"/>
      <c r="U307" s="1"/>
      <c r="V307" s="1"/>
      <c r="W307" s="83">
        <v>1</v>
      </c>
      <c r="Y307" s="10"/>
      <c r="Z307" s="10"/>
      <c r="AA307" s="10"/>
      <c r="AB307" s="10"/>
      <c r="AC307" s="10"/>
      <c r="AD307" s="10"/>
      <c r="AE307" s="75"/>
      <c r="AF307" s="8"/>
      <c r="AG307" s="2">
        <f t="shared" si="12"/>
        <v>1</v>
      </c>
      <c r="AH307" s="78">
        <f t="shared" si="13"/>
        <v>5</v>
      </c>
    </row>
    <row r="308" spans="1:34" s="9" customFormat="1" x14ac:dyDescent="0.45">
      <c r="A308" s="16" t="s">
        <v>139</v>
      </c>
      <c r="B308" s="13"/>
      <c r="C308" s="16"/>
      <c r="D308" s="16"/>
      <c r="E308" s="13" t="str">
        <f>IF(ISBLANK(A308),"neu",IF(ISBLANK(C308),"weg",IF(A308&lt;&gt;C308,"geändert","")))</f>
        <v>weg</v>
      </c>
      <c r="F308" s="13"/>
      <c r="G308" s="13"/>
      <c r="H308"/>
      <c r="I308" s="7"/>
      <c r="J308" s="1"/>
      <c r="K308" s="1"/>
      <c r="L308" s="1"/>
      <c r="M308" s="1"/>
      <c r="N308" s="1"/>
      <c r="O308" s="1"/>
      <c r="P308" s="1"/>
      <c r="Q308" s="1"/>
      <c r="R308" s="74" t="s">
        <v>731</v>
      </c>
      <c r="S308" s="10"/>
      <c r="T308" s="10"/>
      <c r="U308" s="10"/>
      <c r="V308" s="10"/>
      <c r="W308" s="10"/>
      <c r="Y308" s="10"/>
      <c r="Z308" s="10"/>
      <c r="AA308" s="10"/>
      <c r="AB308" s="10"/>
      <c r="AC308" s="10"/>
      <c r="AD308" s="10"/>
      <c r="AE308" s="75"/>
      <c r="AF308" s="8"/>
      <c r="AG308" s="2" t="str">
        <f t="shared" si="12"/>
        <v/>
      </c>
      <c r="AH308" s="78" t="str">
        <f t="shared" si="13"/>
        <v/>
      </c>
    </row>
    <row r="309" spans="1:34" s="9" customFormat="1" x14ac:dyDescent="0.45">
      <c r="A309" s="16" t="s">
        <v>140</v>
      </c>
      <c r="B309" s="13"/>
      <c r="C309" s="16"/>
      <c r="D309" s="16"/>
      <c r="E309" s="13" t="str">
        <f>IF(ISBLANK(A309),"neu",IF(ISBLANK(C309),"weg",IF(A309&lt;&gt;C309,"geändert","")))</f>
        <v>weg</v>
      </c>
      <c r="F309" s="13"/>
      <c r="G309" s="13"/>
      <c r="H309"/>
      <c r="I309" s="7"/>
      <c r="J309" s="1"/>
      <c r="K309" s="1"/>
      <c r="L309" s="1"/>
      <c r="M309" s="1"/>
      <c r="N309" s="1"/>
      <c r="O309" s="1"/>
      <c r="P309" s="1"/>
      <c r="Q309" s="1"/>
      <c r="R309" s="74" t="s">
        <v>731</v>
      </c>
      <c r="S309" s="10"/>
      <c r="T309" s="10"/>
      <c r="U309" s="10"/>
      <c r="V309" s="10"/>
      <c r="W309" s="10"/>
      <c r="Y309" s="10"/>
      <c r="Z309" s="10"/>
      <c r="AA309" s="10"/>
      <c r="AB309" s="10"/>
      <c r="AC309" s="10"/>
      <c r="AD309" s="10"/>
      <c r="AE309" s="75"/>
      <c r="AF309" s="8"/>
      <c r="AG309" s="2" t="str">
        <f t="shared" si="12"/>
        <v/>
      </c>
      <c r="AH309" s="78" t="str">
        <f t="shared" si="13"/>
        <v/>
      </c>
    </row>
    <row r="310" spans="1:34" s="9" customFormat="1" x14ac:dyDescent="0.45">
      <c r="A310" s="16" t="s">
        <v>141</v>
      </c>
      <c r="B310" s="13"/>
      <c r="C310" s="16" t="s">
        <v>304</v>
      </c>
      <c r="D310" s="16"/>
      <c r="E310" s="13" t="str">
        <f>IF(ISBLANK(A310),"neu",IF(ISBLANK(C310),"weg",IF(A310&lt;&gt;C310,"geändert","")))</f>
        <v>geändert</v>
      </c>
      <c r="F310" s="13"/>
      <c r="G310" s="13"/>
      <c r="H310" s="90" t="s">
        <v>13</v>
      </c>
      <c r="I310" s="7"/>
      <c r="J310" s="1"/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  <c r="Q310" s="1"/>
      <c r="R310" s="74">
        <v>1</v>
      </c>
      <c r="S310" s="1"/>
      <c r="T310" s="1"/>
      <c r="U310" s="1"/>
      <c r="V310" s="1"/>
      <c r="W310" s="83">
        <v>1</v>
      </c>
      <c r="Y310" s="10"/>
      <c r="Z310" s="10"/>
      <c r="AA310" s="10"/>
      <c r="AB310" s="10"/>
      <c r="AC310" s="10"/>
      <c r="AD310" s="10"/>
      <c r="AE310" s="75"/>
      <c r="AF310" s="8"/>
      <c r="AG310" s="2">
        <f t="shared" si="12"/>
        <v>1</v>
      </c>
      <c r="AH310" s="78">
        <f t="shared" si="13"/>
        <v>5</v>
      </c>
    </row>
    <row r="311" spans="1:34" s="9" customFormat="1" x14ac:dyDescent="0.45">
      <c r="A311" s="16" t="s">
        <v>142</v>
      </c>
      <c r="B311" s="13"/>
      <c r="C311" s="16" t="s">
        <v>305</v>
      </c>
      <c r="D311" s="16"/>
      <c r="E311" s="13" t="str">
        <f>IF(ISBLANK(A311),"neu",IF(ISBLANK(C311),"weg",IF(A311&lt;&gt;C311,"geändert","")))</f>
        <v>geändert</v>
      </c>
      <c r="F311" s="13"/>
      <c r="G311" s="13"/>
      <c r="H311" s="90" t="s">
        <v>13</v>
      </c>
      <c r="I311" s="36" t="s">
        <v>53</v>
      </c>
      <c r="J311" s="1"/>
      <c r="K311" s="1">
        <v>1</v>
      </c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 s="1"/>
      <c r="R311" s="74">
        <v>1</v>
      </c>
      <c r="S311" s="1"/>
      <c r="T311" s="1"/>
      <c r="U311" s="1"/>
      <c r="V311" s="1"/>
      <c r="W311" s="83">
        <v>1</v>
      </c>
      <c r="Y311" s="10"/>
      <c r="Z311" s="10"/>
      <c r="AA311" s="10"/>
      <c r="AB311" s="10"/>
      <c r="AC311" s="10"/>
      <c r="AD311" s="10"/>
      <c r="AE311" s="75"/>
      <c r="AF311" s="8"/>
      <c r="AG311" s="2">
        <f t="shared" si="12"/>
        <v>1</v>
      </c>
      <c r="AH311" s="78">
        <f t="shared" si="13"/>
        <v>5</v>
      </c>
    </row>
    <row r="312" spans="1:34" s="9" customFormat="1" x14ac:dyDescent="0.45">
      <c r="A312" s="16" t="s">
        <v>143</v>
      </c>
      <c r="B312" s="13"/>
      <c r="C312" s="16"/>
      <c r="D312" s="16"/>
      <c r="E312" s="13" t="str">
        <f>IF(ISBLANK(A312),"neu",IF(ISBLANK(C312),"weg",IF(A312&lt;&gt;C312,"geändert","")))</f>
        <v>weg</v>
      </c>
      <c r="F312" s="13"/>
      <c r="G312" s="13"/>
      <c r="H312"/>
      <c r="I312" s="7"/>
      <c r="J312" s="1"/>
      <c r="K312" s="1"/>
      <c r="L312" s="1"/>
      <c r="M312" s="1"/>
      <c r="N312" s="1"/>
      <c r="O312" s="1"/>
      <c r="P312" s="1"/>
      <c r="Q312" s="1"/>
      <c r="R312" s="74" t="s">
        <v>731</v>
      </c>
      <c r="S312" s="10"/>
      <c r="T312" s="10"/>
      <c r="U312" s="10"/>
      <c r="V312" s="10"/>
      <c r="W312" s="10"/>
      <c r="Y312" s="10"/>
      <c r="Z312" s="10"/>
      <c r="AA312" s="10"/>
      <c r="AB312" s="10"/>
      <c r="AC312" s="10"/>
      <c r="AD312" s="10"/>
      <c r="AE312" s="75"/>
      <c r="AF312" s="8"/>
      <c r="AG312" s="2" t="str">
        <f t="shared" si="12"/>
        <v/>
      </c>
      <c r="AH312" s="78" t="str">
        <f t="shared" si="13"/>
        <v/>
      </c>
    </row>
    <row r="313" spans="1:34" s="9" customFormat="1" x14ac:dyDescent="0.45">
      <c r="A313" s="16" t="s">
        <v>144</v>
      </c>
      <c r="B313" s="13"/>
      <c r="C313" s="16" t="s">
        <v>306</v>
      </c>
      <c r="D313" s="16"/>
      <c r="E313" s="13" t="str">
        <f>IF(ISBLANK(A313),"neu",IF(ISBLANK(C313),"weg",IF(A313&lt;&gt;C313,"geändert","")))</f>
        <v>geändert</v>
      </c>
      <c r="F313" s="13"/>
      <c r="G313" s="13"/>
      <c r="H313" s="90" t="s">
        <v>14</v>
      </c>
      <c r="I313" s="7"/>
      <c r="J313" s="1"/>
      <c r="K313" s="116">
        <v>1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/>
      <c r="R313" s="74">
        <v>1</v>
      </c>
      <c r="S313" s="1"/>
      <c r="T313" s="1"/>
      <c r="U313" s="1"/>
      <c r="V313" s="1"/>
      <c r="W313" s="83">
        <v>1</v>
      </c>
      <c r="Y313" s="10"/>
      <c r="Z313" s="10"/>
      <c r="AA313" s="10"/>
      <c r="AB313" s="10"/>
      <c r="AC313" s="10"/>
      <c r="AD313" s="10"/>
      <c r="AE313" s="75"/>
      <c r="AF313" s="8"/>
      <c r="AG313" s="2">
        <f t="shared" si="12"/>
        <v>1</v>
      </c>
      <c r="AH313" s="78">
        <f t="shared" si="13"/>
        <v>5</v>
      </c>
    </row>
    <row r="314" spans="1:34" s="9" customFormat="1" x14ac:dyDescent="0.45">
      <c r="A314" s="16" t="s">
        <v>145</v>
      </c>
      <c r="B314" s="13"/>
      <c r="C314" s="16" t="s">
        <v>145</v>
      </c>
      <c r="D314" s="16"/>
      <c r="E314" s="13" t="str">
        <f>IF(ISBLANK(A314),"neu",IF(ISBLANK(C314),"weg",IF(A314&lt;&gt;C314,"geändert","")))</f>
        <v/>
      </c>
      <c r="F314" s="13"/>
      <c r="G314" s="13"/>
      <c r="H314" s="90" t="s">
        <v>14</v>
      </c>
      <c r="I314" s="7"/>
      <c r="J314" s="1"/>
      <c r="K314" s="1">
        <v>1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  <c r="Q314" s="1"/>
      <c r="R314" s="74">
        <v>1</v>
      </c>
      <c r="S314" s="1"/>
      <c r="T314" s="1"/>
      <c r="U314" s="1"/>
      <c r="V314" s="1"/>
      <c r="W314" s="83">
        <v>1</v>
      </c>
      <c r="Y314" s="10"/>
      <c r="Z314" s="10"/>
      <c r="AA314" s="10"/>
      <c r="AB314" s="10"/>
      <c r="AC314" s="10"/>
      <c r="AD314" s="10"/>
      <c r="AE314" s="75"/>
      <c r="AF314" s="8"/>
      <c r="AG314" s="2">
        <f t="shared" si="12"/>
        <v>1</v>
      </c>
      <c r="AH314" s="78">
        <f t="shared" si="13"/>
        <v>5</v>
      </c>
    </row>
    <row r="315" spans="1:34" s="9" customFormat="1" x14ac:dyDescent="0.45">
      <c r="A315" s="39" t="s">
        <v>695</v>
      </c>
      <c r="B315" s="13"/>
      <c r="C315" s="39" t="s">
        <v>695</v>
      </c>
      <c r="D315" s="16"/>
      <c r="E315" s="13" t="str">
        <f>IF(ISBLANK(A315),"neu",IF(ISBLANK(C315),"weg",IF(A315&lt;&gt;C315,"geändert","")))</f>
        <v/>
      </c>
      <c r="F315" s="13"/>
      <c r="G315" s="13"/>
      <c r="H315" s="90" t="s">
        <v>15</v>
      </c>
      <c r="I315" s="7"/>
      <c r="J315" s="1"/>
      <c r="K315" s="116">
        <v>1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  <c r="Q315" s="1"/>
      <c r="R315" s="74">
        <v>1</v>
      </c>
      <c r="S315" s="1"/>
      <c r="T315" s="1"/>
      <c r="U315" s="1"/>
      <c r="V315" s="1"/>
      <c r="W315" s="84">
        <v>1</v>
      </c>
      <c r="Y315" s="10"/>
      <c r="Z315" s="10"/>
      <c r="AA315" s="10"/>
      <c r="AB315" s="10"/>
      <c r="AC315" s="10"/>
      <c r="AD315" s="10"/>
      <c r="AE315" s="75"/>
      <c r="AF315" s="8"/>
      <c r="AG315" s="2">
        <f t="shared" ref="AG315:AG333" si="16">IF(SUM(S315:AF315)&gt;0,SUM(S315:AF315),"")</f>
        <v>1</v>
      </c>
      <c r="AH315" s="78">
        <f t="shared" ref="AH315:AH333" si="17">IF(SUM(S315:AF315)&lt;1,"",S315*1+T315*2+U315*3+V315*4+W315*5+X315*6+Y315*7+Z315*8+AA315*9+AB315*10+AC315*11+AD315*12+AE315*13+AF315*14)</f>
        <v>5</v>
      </c>
    </row>
    <row r="316" spans="1:34" s="9" customFormat="1" x14ac:dyDescent="0.45">
      <c r="A316" s="39" t="s">
        <v>696</v>
      </c>
      <c r="B316" s="13"/>
      <c r="C316" s="39" t="s">
        <v>696</v>
      </c>
      <c r="D316" s="16"/>
      <c r="E316" s="13" t="str">
        <f>IF(ISBLANK(A316),"neu",IF(ISBLANK(C316),"weg",IF(A316&lt;&gt;C316,"geändert","")))</f>
        <v/>
      </c>
      <c r="F316" s="13"/>
      <c r="G316" s="13"/>
      <c r="H316" s="90" t="s">
        <v>15</v>
      </c>
      <c r="I316" s="7"/>
      <c r="J316" s="1"/>
      <c r="K316" s="116">
        <v>1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  <c r="Q316" s="1"/>
      <c r="R316" s="74">
        <v>1</v>
      </c>
      <c r="S316" s="1"/>
      <c r="T316" s="1"/>
      <c r="U316" s="1"/>
      <c r="V316" s="1"/>
      <c r="W316" s="84">
        <v>1</v>
      </c>
      <c r="Y316" s="10"/>
      <c r="Z316" s="10"/>
      <c r="AA316" s="10"/>
      <c r="AB316" s="10"/>
      <c r="AC316" s="10"/>
      <c r="AD316" s="10"/>
      <c r="AE316" s="75"/>
      <c r="AF316" s="8"/>
      <c r="AG316" s="2">
        <f t="shared" si="16"/>
        <v>1</v>
      </c>
      <c r="AH316" s="78">
        <f t="shared" si="17"/>
        <v>5</v>
      </c>
    </row>
    <row r="317" spans="1:34" s="9" customFormat="1" x14ac:dyDescent="0.45">
      <c r="A317" s="39" t="s">
        <v>697</v>
      </c>
      <c r="B317" s="13"/>
      <c r="C317" s="40" t="s">
        <v>697</v>
      </c>
      <c r="D317" s="16"/>
      <c r="E317" s="13" t="str">
        <f>IF(ISBLANK(A317),"neu",IF(ISBLANK(C317),"weg",IF(A317&lt;&gt;C317,"geändert","")))</f>
        <v/>
      </c>
      <c r="F317" s="13"/>
      <c r="G317" s="13"/>
      <c r="H317" s="90" t="s">
        <v>15</v>
      </c>
      <c r="I317" s="7"/>
      <c r="J317" s="1"/>
      <c r="K317" s="116">
        <v>1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 s="1"/>
      <c r="R317" s="74">
        <v>1</v>
      </c>
      <c r="S317" s="1"/>
      <c r="T317" s="1"/>
      <c r="U317" s="1"/>
      <c r="V317" s="1"/>
      <c r="W317" s="84">
        <v>1</v>
      </c>
      <c r="Y317" s="10"/>
      <c r="Z317" s="10"/>
      <c r="AA317" s="10"/>
      <c r="AB317" s="10"/>
      <c r="AC317" s="10"/>
      <c r="AD317" s="10"/>
      <c r="AE317" s="75"/>
      <c r="AF317" s="8"/>
      <c r="AG317" s="2">
        <f t="shared" si="16"/>
        <v>1</v>
      </c>
      <c r="AH317" s="78">
        <f t="shared" si="17"/>
        <v>5</v>
      </c>
    </row>
    <row r="318" spans="1:34" s="9" customFormat="1" x14ac:dyDescent="0.45">
      <c r="A318" s="40" t="s">
        <v>698</v>
      </c>
      <c r="B318" s="13"/>
      <c r="C318" s="40" t="s">
        <v>698</v>
      </c>
      <c r="D318" s="16"/>
      <c r="E318" s="13" t="str">
        <f>IF(ISBLANK(A318),"neu",IF(ISBLANK(C318),"weg",IF(A318&lt;&gt;C318,"geändert","")))</f>
        <v/>
      </c>
      <c r="F318" s="13"/>
      <c r="G318" s="13"/>
      <c r="H318" s="90" t="s">
        <v>15</v>
      </c>
      <c r="I318" s="7"/>
      <c r="J318" s="1"/>
      <c r="K318" s="116">
        <v>1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/>
      <c r="R318" s="74">
        <v>1</v>
      </c>
      <c r="S318" s="1"/>
      <c r="T318" s="1"/>
      <c r="U318" s="1"/>
      <c r="V318" s="1"/>
      <c r="W318" s="84">
        <v>1</v>
      </c>
      <c r="Y318" s="10"/>
      <c r="Z318" s="10"/>
      <c r="AA318" s="10"/>
      <c r="AB318" s="10"/>
      <c r="AC318" s="10"/>
      <c r="AD318" s="10"/>
      <c r="AE318" s="75"/>
      <c r="AF318" s="8"/>
      <c r="AG318" s="2">
        <f t="shared" si="16"/>
        <v>1</v>
      </c>
      <c r="AH318" s="78">
        <f t="shared" si="17"/>
        <v>5</v>
      </c>
    </row>
    <row r="319" spans="1:34" s="9" customFormat="1" x14ac:dyDescent="0.45">
      <c r="A319" s="16" t="s">
        <v>146</v>
      </c>
      <c r="B319" s="13"/>
      <c r="C319" s="16" t="s">
        <v>307</v>
      </c>
      <c r="D319" s="16"/>
      <c r="E319" s="13" t="str">
        <f>IF(ISBLANK(A319),"neu",IF(ISBLANK(C319),"weg",IF(A319&lt;&gt;C319,"geändert","")))</f>
        <v>geändert</v>
      </c>
      <c r="F319" s="13"/>
      <c r="G319" s="13"/>
      <c r="H319" s="90" t="s">
        <v>13</v>
      </c>
      <c r="I319" s="36" t="s">
        <v>53</v>
      </c>
      <c r="J319" s="1"/>
      <c r="K319" s="1">
        <v>1</v>
      </c>
      <c r="L319" s="1">
        <v>1</v>
      </c>
      <c r="M319" s="1">
        <v>1</v>
      </c>
      <c r="N319" s="1">
        <v>1</v>
      </c>
      <c r="O319" s="1">
        <v>1</v>
      </c>
      <c r="P319" s="1">
        <v>1</v>
      </c>
      <c r="Q319" s="1"/>
      <c r="R319" s="74">
        <v>1</v>
      </c>
      <c r="S319" s="83">
        <v>1</v>
      </c>
      <c r="T319" s="10"/>
      <c r="U319" s="10"/>
      <c r="V319" s="10"/>
      <c r="W319" s="10"/>
      <c r="Y319" s="10"/>
      <c r="Z319" s="10"/>
      <c r="AA319" s="10"/>
      <c r="AB319" s="10"/>
      <c r="AC319" s="10"/>
      <c r="AD319" s="10"/>
      <c r="AE319" s="75"/>
      <c r="AF319" s="8"/>
      <c r="AG319" s="2">
        <f t="shared" si="16"/>
        <v>1</v>
      </c>
      <c r="AH319" s="78">
        <f t="shared" si="17"/>
        <v>1</v>
      </c>
    </row>
    <row r="320" spans="1:34" s="9" customFormat="1" x14ac:dyDescent="0.45">
      <c r="A320" s="16" t="s">
        <v>147</v>
      </c>
      <c r="B320" s="13"/>
      <c r="C320" s="16"/>
      <c r="D320" s="16"/>
      <c r="E320" s="13" t="str">
        <f>IF(ISBLANK(A320),"neu",IF(ISBLANK(C320),"weg",IF(A320&lt;&gt;C320,"geändert","")))</f>
        <v>weg</v>
      </c>
      <c r="F320" s="13"/>
      <c r="G320" s="13"/>
      <c r="H320"/>
      <c r="I320" s="7"/>
      <c r="J320" s="1"/>
      <c r="K320" s="1"/>
      <c r="L320" s="1"/>
      <c r="M320" s="1"/>
      <c r="N320" s="1"/>
      <c r="O320" s="1"/>
      <c r="P320" s="1"/>
      <c r="Q320" s="1"/>
      <c r="R320" s="74" t="s">
        <v>731</v>
      </c>
      <c r="S320" s="10"/>
      <c r="T320" s="10"/>
      <c r="U320" s="10"/>
      <c r="V320" s="10"/>
      <c r="W320" s="10"/>
      <c r="Y320" s="10"/>
      <c r="Z320" s="10"/>
      <c r="AA320" s="10"/>
      <c r="AB320" s="10"/>
      <c r="AC320" s="10"/>
      <c r="AD320" s="10"/>
      <c r="AE320" s="75"/>
      <c r="AF320" s="8"/>
      <c r="AG320" s="2" t="str">
        <f t="shared" si="16"/>
        <v/>
      </c>
      <c r="AH320" s="78" t="str">
        <f t="shared" si="17"/>
        <v/>
      </c>
    </row>
    <row r="321" spans="1:34" s="9" customFormat="1" x14ac:dyDescent="0.45">
      <c r="A321" s="16" t="s">
        <v>148</v>
      </c>
      <c r="B321" s="13"/>
      <c r="C321" s="16" t="s">
        <v>308</v>
      </c>
      <c r="D321" s="16"/>
      <c r="E321" s="13" t="str">
        <f>IF(ISBLANK(A321),"neu",IF(ISBLANK(C321),"weg",IF(A321&lt;&gt;C321,"geändert","")))</f>
        <v>geändert</v>
      </c>
      <c r="F321" s="13"/>
      <c r="G321" s="13"/>
      <c r="H321" s="90" t="s">
        <v>13</v>
      </c>
      <c r="I321" s="36" t="s">
        <v>53</v>
      </c>
      <c r="J321" s="1"/>
      <c r="K321" s="1">
        <v>1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/>
      <c r="R321" s="74">
        <v>1</v>
      </c>
      <c r="S321" s="83">
        <v>1</v>
      </c>
      <c r="T321" s="10"/>
      <c r="U321" s="10"/>
      <c r="V321" s="10"/>
      <c r="W321" s="10"/>
      <c r="Y321" s="10"/>
      <c r="Z321" s="10"/>
      <c r="AA321" s="10"/>
      <c r="AB321" s="10"/>
      <c r="AC321" s="10"/>
      <c r="AD321" s="10"/>
      <c r="AE321" s="75"/>
      <c r="AF321" s="8"/>
      <c r="AG321" s="2">
        <f t="shared" si="16"/>
        <v>1</v>
      </c>
      <c r="AH321" s="78">
        <f t="shared" si="17"/>
        <v>1</v>
      </c>
    </row>
    <row r="322" spans="1:34" s="9" customFormat="1" x14ac:dyDescent="0.45">
      <c r="A322" s="16" t="s">
        <v>149</v>
      </c>
      <c r="B322" s="13"/>
      <c r="C322" s="16"/>
      <c r="D322" s="16"/>
      <c r="E322" s="13" t="str">
        <f>IF(ISBLANK(A322),"neu",IF(ISBLANK(C322),"weg",IF(A322&lt;&gt;C322,"geändert","")))</f>
        <v>weg</v>
      </c>
      <c r="F322" s="13"/>
      <c r="G322" s="13"/>
      <c r="H322"/>
      <c r="I322" s="7"/>
      <c r="J322" s="1"/>
      <c r="K322" s="1"/>
      <c r="L322" s="1"/>
      <c r="M322" s="1"/>
      <c r="N322" s="1"/>
      <c r="O322" s="1"/>
      <c r="P322" s="1"/>
      <c r="Q322" s="1"/>
      <c r="R322" s="74" t="s">
        <v>731</v>
      </c>
      <c r="S322" s="10"/>
      <c r="T322" s="10"/>
      <c r="U322" s="10"/>
      <c r="V322" s="10"/>
      <c r="W322" s="10"/>
      <c r="Y322" s="10"/>
      <c r="Z322" s="10"/>
      <c r="AA322" s="10"/>
      <c r="AB322" s="10"/>
      <c r="AC322" s="10"/>
      <c r="AD322" s="10"/>
      <c r="AE322" s="75"/>
      <c r="AF322" s="8"/>
      <c r="AG322" s="2" t="str">
        <f t="shared" si="16"/>
        <v/>
      </c>
      <c r="AH322" s="78" t="str">
        <f t="shared" si="17"/>
        <v/>
      </c>
    </row>
    <row r="323" spans="1:34" s="9" customFormat="1" x14ac:dyDescent="0.45">
      <c r="A323" s="16" t="s">
        <v>150</v>
      </c>
      <c r="B323" s="13"/>
      <c r="C323" s="16" t="s">
        <v>150</v>
      </c>
      <c r="D323" s="16"/>
      <c r="E323" s="13" t="str">
        <f>IF(ISBLANK(A323),"neu",IF(ISBLANK(C323),"weg",IF(A323&lt;&gt;C323,"geändert","")))</f>
        <v/>
      </c>
      <c r="F323" s="13"/>
      <c r="G323" s="13"/>
      <c r="H323" s="90" t="s">
        <v>13</v>
      </c>
      <c r="I323" s="7"/>
      <c r="J323" s="1"/>
      <c r="K323" s="1">
        <v>1</v>
      </c>
      <c r="L323" s="1">
        <v>1</v>
      </c>
      <c r="M323" s="1">
        <v>1</v>
      </c>
      <c r="N323" s="1">
        <v>1</v>
      </c>
      <c r="O323" s="1">
        <v>1</v>
      </c>
      <c r="P323" s="1">
        <v>1</v>
      </c>
      <c r="Q323" s="1"/>
      <c r="R323" s="74">
        <v>1</v>
      </c>
      <c r="S323" s="83">
        <v>1</v>
      </c>
      <c r="T323" s="10"/>
      <c r="U323" s="10"/>
      <c r="V323" s="10"/>
      <c r="W323" s="10"/>
      <c r="Y323" s="10"/>
      <c r="Z323" s="10"/>
      <c r="AA323" s="10"/>
      <c r="AB323" s="10"/>
      <c r="AC323" s="10"/>
      <c r="AD323" s="10"/>
      <c r="AE323" s="75"/>
      <c r="AF323" s="8"/>
      <c r="AG323" s="2">
        <f t="shared" si="16"/>
        <v>1</v>
      </c>
      <c r="AH323" s="78">
        <f t="shared" si="17"/>
        <v>1</v>
      </c>
    </row>
    <row r="324" spans="1:34" s="9" customFormat="1" x14ac:dyDescent="0.45">
      <c r="A324" s="16" t="s">
        <v>151</v>
      </c>
      <c r="B324" s="13"/>
      <c r="C324" s="16" t="s">
        <v>151</v>
      </c>
      <c r="D324" s="16"/>
      <c r="E324" s="13" t="str">
        <f>IF(ISBLANK(A324),"neu",IF(ISBLANK(C324),"weg",IF(A324&lt;&gt;C324,"geändert","")))</f>
        <v/>
      </c>
      <c r="F324" s="13"/>
      <c r="G324" s="13"/>
      <c r="H324" t="s">
        <v>14</v>
      </c>
      <c r="I324" s="7"/>
      <c r="J324" s="1"/>
      <c r="K324" s="1">
        <v>1</v>
      </c>
      <c r="L324" s="1">
        <v>1</v>
      </c>
      <c r="M324" s="1">
        <v>1</v>
      </c>
      <c r="N324" s="1">
        <v>1</v>
      </c>
      <c r="O324" s="1">
        <v>1</v>
      </c>
      <c r="P324" s="1">
        <v>1</v>
      </c>
      <c r="Q324" s="1"/>
      <c r="R324" s="74">
        <v>1</v>
      </c>
      <c r="S324" s="10"/>
      <c r="T324" s="10"/>
      <c r="U324" s="10"/>
      <c r="V324" s="10"/>
      <c r="W324" s="10"/>
      <c r="Y324" s="10"/>
      <c r="Z324" s="10"/>
      <c r="AA324" s="83">
        <v>1</v>
      </c>
      <c r="AB324" s="10"/>
      <c r="AC324" s="10"/>
      <c r="AD324" s="10"/>
      <c r="AE324" s="75"/>
      <c r="AF324" s="8"/>
      <c r="AG324" s="2">
        <f t="shared" si="16"/>
        <v>1</v>
      </c>
      <c r="AH324" s="78">
        <f t="shared" si="17"/>
        <v>9</v>
      </c>
    </row>
    <row r="325" spans="1:34" s="9" customFormat="1" x14ac:dyDescent="0.45">
      <c r="A325" s="16" t="s">
        <v>152</v>
      </c>
      <c r="B325" s="13"/>
      <c r="C325" s="16" t="s">
        <v>309</v>
      </c>
      <c r="D325" s="16"/>
      <c r="E325" s="13" t="str">
        <f>IF(ISBLANK(A325),"neu",IF(ISBLANK(C325),"weg",IF(A325&lt;&gt;C325,"geändert","")))</f>
        <v>geändert</v>
      </c>
      <c r="F325" s="13"/>
      <c r="G325" s="13"/>
      <c r="H325" t="s">
        <v>14</v>
      </c>
      <c r="I325" s="36" t="s">
        <v>53</v>
      </c>
      <c r="J325" s="1"/>
      <c r="K325" s="1">
        <v>1</v>
      </c>
      <c r="L325" s="1">
        <v>1</v>
      </c>
      <c r="M325" s="1">
        <v>1</v>
      </c>
      <c r="N325" s="1">
        <v>1</v>
      </c>
      <c r="O325" s="1">
        <v>1</v>
      </c>
      <c r="P325" s="1">
        <v>1</v>
      </c>
      <c r="Q325" s="1"/>
      <c r="R325" s="74">
        <v>1</v>
      </c>
      <c r="S325" s="10"/>
      <c r="T325" s="10"/>
      <c r="U325" s="10"/>
      <c r="V325" s="10"/>
      <c r="W325" s="10"/>
      <c r="Y325" s="10"/>
      <c r="Z325" s="83">
        <v>1</v>
      </c>
      <c r="AA325" s="10"/>
      <c r="AB325" s="10"/>
      <c r="AC325" s="10"/>
      <c r="AD325" s="10"/>
      <c r="AE325" s="75"/>
      <c r="AF325" s="8"/>
      <c r="AG325" s="2">
        <f t="shared" si="16"/>
        <v>1</v>
      </c>
      <c r="AH325" s="78">
        <f t="shared" si="17"/>
        <v>8</v>
      </c>
    </row>
    <row r="326" spans="1:34" s="9" customFormat="1" x14ac:dyDescent="0.45">
      <c r="A326" s="16" t="s">
        <v>153</v>
      </c>
      <c r="B326" s="13"/>
      <c r="C326" s="16"/>
      <c r="D326" s="16"/>
      <c r="E326" s="13" t="str">
        <f>IF(ISBLANK(A326),"neu",IF(ISBLANK(C326),"weg",IF(A326&lt;&gt;C326,"geändert","")))</f>
        <v>weg</v>
      </c>
      <c r="F326" s="13"/>
      <c r="G326" s="13"/>
      <c r="H326"/>
      <c r="I326" s="7"/>
      <c r="J326" s="1"/>
      <c r="K326" s="1"/>
      <c r="L326" s="1"/>
      <c r="M326" s="1"/>
      <c r="N326" s="1"/>
      <c r="O326" s="1"/>
      <c r="P326" s="1"/>
      <c r="Q326" s="1"/>
      <c r="R326" s="74" t="s">
        <v>731</v>
      </c>
      <c r="S326" s="10"/>
      <c r="T326" s="10"/>
      <c r="U326" s="10"/>
      <c r="V326" s="10"/>
      <c r="W326" s="10"/>
      <c r="Y326" s="10"/>
      <c r="Z326" s="10"/>
      <c r="AA326" s="10"/>
      <c r="AB326" s="10"/>
      <c r="AC326" s="10"/>
      <c r="AD326" s="10"/>
      <c r="AE326" s="75"/>
      <c r="AF326" s="8"/>
      <c r="AG326" s="2" t="str">
        <f t="shared" si="16"/>
        <v/>
      </c>
      <c r="AH326" s="78" t="str">
        <f t="shared" si="17"/>
        <v/>
      </c>
    </row>
    <row r="327" spans="1:34" s="9" customFormat="1" x14ac:dyDescent="0.45">
      <c r="A327" s="40" t="s">
        <v>699</v>
      </c>
      <c r="B327" s="13"/>
      <c r="C327" s="40" t="s">
        <v>699</v>
      </c>
      <c r="D327" s="16"/>
      <c r="E327" s="13" t="str">
        <f>IF(ISBLANK(A327),"neu",IF(ISBLANK(C327),"weg",IF(A327&lt;&gt;C327,"geändert","")))</f>
        <v/>
      </c>
      <c r="F327" s="13"/>
      <c r="G327" s="13"/>
      <c r="H327" t="s">
        <v>15</v>
      </c>
      <c r="I327" s="7"/>
      <c r="J327" s="1"/>
      <c r="K327" s="116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/>
      <c r="R327" s="74">
        <v>1</v>
      </c>
      <c r="S327" s="10"/>
      <c r="T327" s="10"/>
      <c r="U327" s="10"/>
      <c r="V327" s="10"/>
      <c r="W327" s="10"/>
      <c r="Y327" s="10"/>
      <c r="Z327" s="84">
        <v>1</v>
      </c>
      <c r="AA327" s="10"/>
      <c r="AB327" s="10"/>
      <c r="AC327" s="10"/>
      <c r="AD327" s="10"/>
      <c r="AE327" s="75"/>
      <c r="AF327" s="8"/>
      <c r="AG327" s="2">
        <f t="shared" si="16"/>
        <v>1</v>
      </c>
      <c r="AH327" s="78">
        <f t="shared" si="17"/>
        <v>8</v>
      </c>
    </row>
    <row r="328" spans="1:34" s="9" customFormat="1" x14ac:dyDescent="0.45">
      <c r="A328" s="16" t="s">
        <v>154</v>
      </c>
      <c r="B328" s="13"/>
      <c r="C328" s="16" t="s">
        <v>154</v>
      </c>
      <c r="D328" s="16"/>
      <c r="E328" s="13" t="str">
        <f>IF(ISBLANK(A328),"neu",IF(ISBLANK(C328),"weg",IF(A328&lt;&gt;C328,"geändert","")))</f>
        <v/>
      </c>
      <c r="F328" s="13"/>
      <c r="G328" s="13"/>
      <c r="H328" t="s">
        <v>13</v>
      </c>
      <c r="I328" s="7"/>
      <c r="J328" s="1"/>
      <c r="K328" s="1">
        <v>1</v>
      </c>
      <c r="L328" s="1">
        <v>1</v>
      </c>
      <c r="M328" s="1">
        <v>1</v>
      </c>
      <c r="N328" s="1">
        <v>1</v>
      </c>
      <c r="O328" s="1">
        <v>1</v>
      </c>
      <c r="P328" s="1">
        <v>1</v>
      </c>
      <c r="Q328" s="1"/>
      <c r="R328" s="74">
        <v>1</v>
      </c>
      <c r="S328" s="10"/>
      <c r="T328" s="10"/>
      <c r="U328" s="10"/>
      <c r="V328" s="10"/>
      <c r="W328" s="10"/>
      <c r="X328" s="83">
        <v>1</v>
      </c>
      <c r="Y328" s="1"/>
      <c r="Z328" s="10"/>
      <c r="AA328" s="10"/>
      <c r="AB328" s="10"/>
      <c r="AC328" s="10"/>
      <c r="AD328" s="10"/>
      <c r="AE328" s="75"/>
      <c r="AF328" s="8"/>
      <c r="AG328" s="2">
        <f t="shared" si="16"/>
        <v>1</v>
      </c>
      <c r="AH328" s="78">
        <f t="shared" si="17"/>
        <v>6</v>
      </c>
    </row>
    <row r="329" spans="1:34" s="9" customFormat="1" x14ac:dyDescent="0.45">
      <c r="A329" s="16" t="s">
        <v>155</v>
      </c>
      <c r="B329" s="13"/>
      <c r="C329" s="16" t="s">
        <v>155</v>
      </c>
      <c r="D329" s="16"/>
      <c r="E329" s="13" t="str">
        <f>IF(ISBLANK(A329),"neu",IF(ISBLANK(C329),"weg",IF(A329&lt;&gt;C329,"geändert","")))</f>
        <v/>
      </c>
      <c r="F329" s="13"/>
      <c r="G329" s="13"/>
      <c r="H329" t="s">
        <v>13</v>
      </c>
      <c r="I329" s="7"/>
      <c r="J329" s="1"/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/>
      <c r="R329" s="74">
        <v>1</v>
      </c>
      <c r="S329" s="10"/>
      <c r="T329" s="10"/>
      <c r="U329" s="10"/>
      <c r="V329" s="10"/>
      <c r="W329" s="10"/>
      <c r="X329" s="1"/>
      <c r="Y329" s="83">
        <v>1</v>
      </c>
      <c r="Z329" s="10"/>
      <c r="AA329" s="10"/>
      <c r="AB329" s="10"/>
      <c r="AC329" s="10"/>
      <c r="AD329" s="10"/>
      <c r="AE329" s="75"/>
      <c r="AF329" s="8"/>
      <c r="AG329" s="2">
        <f t="shared" si="16"/>
        <v>1</v>
      </c>
      <c r="AH329" s="78">
        <f t="shared" si="17"/>
        <v>7</v>
      </c>
    </row>
    <row r="330" spans="1:34" s="9" customFormat="1" x14ac:dyDescent="0.45">
      <c r="A330" s="16" t="s">
        <v>156</v>
      </c>
      <c r="B330" s="13"/>
      <c r="C330" s="16" t="s">
        <v>156</v>
      </c>
      <c r="D330" s="16"/>
      <c r="E330" s="13" t="str">
        <f>IF(ISBLANK(A330),"neu",IF(ISBLANK(C330),"weg",IF(A330&lt;&gt;C330,"geändert","")))</f>
        <v/>
      </c>
      <c r="F330" s="13"/>
      <c r="G330" s="13"/>
      <c r="H330" t="s">
        <v>14</v>
      </c>
      <c r="I330" s="7"/>
      <c r="J330" s="1"/>
      <c r="K330" s="1">
        <v>1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  <c r="Q330" s="1"/>
      <c r="R330" s="74">
        <v>1</v>
      </c>
      <c r="S330" s="10"/>
      <c r="T330" s="10"/>
      <c r="U330" s="10"/>
      <c r="V330" s="10"/>
      <c r="W330" s="10"/>
      <c r="X330" s="83">
        <v>1</v>
      </c>
      <c r="Y330" s="1"/>
      <c r="Z330" s="10"/>
      <c r="AA330" s="10"/>
      <c r="AB330" s="10"/>
      <c r="AC330" s="10"/>
      <c r="AD330" s="10"/>
      <c r="AE330" s="75"/>
      <c r="AF330" s="8"/>
      <c r="AG330" s="2">
        <f t="shared" si="16"/>
        <v>1</v>
      </c>
      <c r="AH330" s="78">
        <f t="shared" si="17"/>
        <v>6</v>
      </c>
    </row>
    <row r="331" spans="1:34" s="9" customFormat="1" x14ac:dyDescent="0.45">
      <c r="A331" s="16" t="s">
        <v>157</v>
      </c>
      <c r="B331" s="13"/>
      <c r="C331" s="16" t="s">
        <v>310</v>
      </c>
      <c r="D331" s="16"/>
      <c r="E331" s="13" t="str">
        <f>IF(ISBLANK(A331),"neu",IF(ISBLANK(C331),"weg",IF(A331&lt;&gt;C331,"geändert","")))</f>
        <v>geändert</v>
      </c>
      <c r="F331" s="13"/>
      <c r="G331" s="13"/>
      <c r="H331" t="s">
        <v>14</v>
      </c>
      <c r="I331" s="36" t="s">
        <v>53</v>
      </c>
      <c r="J331" s="1"/>
      <c r="K331" s="1">
        <v>1</v>
      </c>
      <c r="L331" s="1">
        <v>1</v>
      </c>
      <c r="M331" s="1">
        <v>1</v>
      </c>
      <c r="N331" s="1">
        <v>1</v>
      </c>
      <c r="O331" s="1">
        <v>1</v>
      </c>
      <c r="P331" s="1">
        <v>1</v>
      </c>
      <c r="Q331" s="1"/>
      <c r="R331" s="74">
        <v>1</v>
      </c>
      <c r="S331" s="10"/>
      <c r="T331" s="10"/>
      <c r="U331" s="10"/>
      <c r="V331" s="10"/>
      <c r="W331" s="10"/>
      <c r="X331" s="83">
        <v>1</v>
      </c>
      <c r="Y331" s="1"/>
      <c r="Z331" s="10"/>
      <c r="AA331" s="10"/>
      <c r="AB331" s="10"/>
      <c r="AC331" s="10"/>
      <c r="AD331" s="10"/>
      <c r="AE331" s="75"/>
      <c r="AF331" s="8"/>
      <c r="AG331" s="2">
        <f t="shared" si="16"/>
        <v>1</v>
      </c>
      <c r="AH331" s="78">
        <f t="shared" si="17"/>
        <v>6</v>
      </c>
    </row>
    <row r="332" spans="1:34" s="9" customFormat="1" x14ac:dyDescent="0.45">
      <c r="A332" s="16" t="s">
        <v>158</v>
      </c>
      <c r="B332" s="13"/>
      <c r="C332" s="16"/>
      <c r="D332" s="16"/>
      <c r="E332" s="13" t="str">
        <f>IF(ISBLANK(A332),"neu",IF(ISBLANK(C332),"weg",IF(A332&lt;&gt;C332,"geändert","")))</f>
        <v>weg</v>
      </c>
      <c r="F332" s="13"/>
      <c r="G332" s="13"/>
      <c r="I332" s="7"/>
      <c r="J332" s="1"/>
      <c r="K332" s="1"/>
      <c r="L332" s="1"/>
      <c r="M332" s="1"/>
      <c r="N332" s="1"/>
      <c r="O332" s="1"/>
      <c r="P332" s="1"/>
      <c r="Q332" s="1"/>
      <c r="R332" s="74" t="s">
        <v>731</v>
      </c>
      <c r="S332" s="10"/>
      <c r="T332" s="10"/>
      <c r="U332" s="10"/>
      <c r="V332" s="10"/>
      <c r="W332" s="10"/>
      <c r="Y332" s="1"/>
      <c r="Z332" s="10"/>
      <c r="AA332" s="10"/>
      <c r="AB332" s="10"/>
      <c r="AC332" s="10"/>
      <c r="AD332" s="10"/>
      <c r="AE332" s="75"/>
      <c r="AF332" s="8"/>
      <c r="AG332" s="2" t="str">
        <f t="shared" si="16"/>
        <v/>
      </c>
      <c r="AH332" s="78" t="str">
        <f t="shared" si="17"/>
        <v/>
      </c>
    </row>
    <row r="333" spans="1:34" s="9" customFormat="1" x14ac:dyDescent="0.45">
      <c r="A333" s="16" t="s">
        <v>159</v>
      </c>
      <c r="B333" s="13"/>
      <c r="C333" s="16" t="s">
        <v>311</v>
      </c>
      <c r="D333" s="16"/>
      <c r="E333" s="13" t="str">
        <f>IF(ISBLANK(A333),"neu",IF(ISBLANK(C333),"weg",IF(A333&lt;&gt;C333,"geändert","")))</f>
        <v>geändert</v>
      </c>
      <c r="F333" s="13"/>
      <c r="G333" s="13"/>
      <c r="H333" t="s">
        <v>14</v>
      </c>
      <c r="I333" s="36" t="s">
        <v>53</v>
      </c>
      <c r="J333" s="1"/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/>
      <c r="R333" s="74">
        <v>1</v>
      </c>
      <c r="S333" s="10"/>
      <c r="T333" s="10"/>
      <c r="U333" s="10"/>
      <c r="V333" s="10"/>
      <c r="W333" s="10"/>
      <c r="X333" s="83">
        <v>1</v>
      </c>
      <c r="Y333" s="10"/>
      <c r="Z333" s="10"/>
      <c r="AA333" s="10"/>
      <c r="AB333" s="10"/>
      <c r="AC333" s="10"/>
      <c r="AD333" s="10"/>
      <c r="AE333" s="75"/>
      <c r="AF333" s="8"/>
      <c r="AG333" s="2">
        <f t="shared" si="16"/>
        <v>1</v>
      </c>
      <c r="AH333" s="78">
        <f t="shared" si="17"/>
        <v>6</v>
      </c>
    </row>
    <row r="334" spans="1:34" s="9" customFormat="1" x14ac:dyDescent="0.45">
      <c r="A334" s="16" t="s">
        <v>160</v>
      </c>
      <c r="B334" s="13"/>
      <c r="C334" s="16"/>
      <c r="D334" s="16"/>
      <c r="E334" s="13" t="str">
        <f>IF(ISBLANK(A334),"neu",IF(ISBLANK(C334),"weg",IF(A334&lt;&gt;C334,"geändert","")))</f>
        <v>weg</v>
      </c>
      <c r="F334" s="13"/>
      <c r="G334" s="13"/>
      <c r="H334"/>
      <c r="I334" s="7"/>
      <c r="J334" s="1"/>
      <c r="K334" s="1"/>
      <c r="L334" s="1"/>
      <c r="M334" s="1"/>
      <c r="N334" s="1"/>
      <c r="O334" s="1"/>
      <c r="P334" s="1"/>
      <c r="Q334" s="1"/>
      <c r="R334" s="74" t="s">
        <v>731</v>
      </c>
      <c r="S334" s="10"/>
      <c r="T334" s="10"/>
      <c r="U334" s="10"/>
      <c r="V334" s="10"/>
      <c r="W334" s="10"/>
      <c r="Y334" s="10"/>
      <c r="Z334" s="10"/>
      <c r="AA334" s="10"/>
      <c r="AB334" s="10"/>
      <c r="AC334" s="10"/>
      <c r="AD334" s="10"/>
      <c r="AE334" s="75"/>
      <c r="AF334" s="8"/>
      <c r="AG334" s="2" t="str">
        <f t="shared" ref="AG334:AG344" si="18">IF(SUM(S334:AF334)&gt;0,SUM(S334:AF334),"")</f>
        <v/>
      </c>
      <c r="AH334" s="78" t="str">
        <f t="shared" ref="AH334:AH344" si="19">IF(SUM(S334:AF334)&lt;1,"",S334*1+T334*2+U334*3+V334*4+W334*5+X334*6+Y334*7+Z334*8+AA334*9+AB334*10+AC334*11+AD334*12+AE334*13+AF334*14)</f>
        <v/>
      </c>
    </row>
    <row r="335" spans="1:34" s="9" customFormat="1" x14ac:dyDescent="0.45">
      <c r="A335" s="39" t="s">
        <v>700</v>
      </c>
      <c r="B335" s="13"/>
      <c r="C335" s="39" t="s">
        <v>700</v>
      </c>
      <c r="D335" s="16"/>
      <c r="E335" s="13" t="str">
        <f>IF(ISBLANK(A335),"neu",IF(ISBLANK(C335),"weg",IF(A335&lt;&gt;C335,"geändert","")))</f>
        <v/>
      </c>
      <c r="F335" s="13"/>
      <c r="G335" s="13"/>
      <c r="H335" t="s">
        <v>15</v>
      </c>
      <c r="I335" s="7"/>
      <c r="J335" s="1"/>
      <c r="K335" s="116">
        <v>1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  <c r="Q335" s="1"/>
      <c r="R335" s="74">
        <v>1</v>
      </c>
      <c r="S335" s="85"/>
      <c r="T335" s="85"/>
      <c r="U335" s="85"/>
      <c r="V335" s="85"/>
      <c r="W335" s="85"/>
      <c r="X335" s="84">
        <v>1</v>
      </c>
      <c r="Y335" s="10"/>
      <c r="Z335" s="10"/>
      <c r="AA335" s="10"/>
      <c r="AB335" s="10"/>
      <c r="AC335" s="10"/>
      <c r="AD335" s="10"/>
      <c r="AE335" s="75"/>
      <c r="AF335" s="8"/>
      <c r="AG335" s="2">
        <f t="shared" si="18"/>
        <v>1</v>
      </c>
      <c r="AH335" s="78">
        <f t="shared" si="19"/>
        <v>6</v>
      </c>
    </row>
    <row r="336" spans="1:34" s="9" customFormat="1" x14ac:dyDescent="0.45">
      <c r="A336" s="39" t="s">
        <v>701</v>
      </c>
      <c r="B336" s="13"/>
      <c r="C336" s="39" t="s">
        <v>701</v>
      </c>
      <c r="D336" s="16"/>
      <c r="E336" s="13" t="str">
        <f>IF(ISBLANK(A336),"neu",IF(ISBLANK(C336),"weg",IF(A336&lt;&gt;C336,"geändert","")))</f>
        <v/>
      </c>
      <c r="F336" s="13"/>
      <c r="G336" s="13"/>
      <c r="H336" t="s">
        <v>15</v>
      </c>
      <c r="I336" s="7"/>
      <c r="J336" s="1"/>
      <c r="K336" s="116">
        <v>1</v>
      </c>
      <c r="L336" s="1">
        <v>1</v>
      </c>
      <c r="M336" s="1">
        <v>1</v>
      </c>
      <c r="N336" s="1">
        <v>1</v>
      </c>
      <c r="O336" s="1">
        <v>1</v>
      </c>
      <c r="P336" s="1">
        <v>1</v>
      </c>
      <c r="Q336" s="1"/>
      <c r="R336" s="74">
        <v>1</v>
      </c>
      <c r="S336" s="85"/>
      <c r="T336" s="85"/>
      <c r="U336" s="85"/>
      <c r="V336" s="85"/>
      <c r="W336" s="84">
        <v>1</v>
      </c>
      <c r="X336" s="47"/>
      <c r="Y336" s="10"/>
      <c r="Z336" s="10"/>
      <c r="AA336" s="10"/>
      <c r="AB336" s="10"/>
      <c r="AC336" s="10"/>
      <c r="AD336" s="10"/>
      <c r="AE336" s="75"/>
      <c r="AF336" s="8"/>
      <c r="AG336" s="2">
        <f t="shared" si="18"/>
        <v>1</v>
      </c>
      <c r="AH336" s="78">
        <f t="shared" si="19"/>
        <v>5</v>
      </c>
    </row>
    <row r="337" spans="1:34" s="9" customFormat="1" x14ac:dyDescent="0.45">
      <c r="A337" s="39" t="s">
        <v>702</v>
      </c>
      <c r="B337" s="13"/>
      <c r="C337" s="39" t="s">
        <v>702</v>
      </c>
      <c r="D337" s="16"/>
      <c r="E337" s="13" t="str">
        <f>IF(ISBLANK(A337),"neu",IF(ISBLANK(C337),"weg",IF(A337&lt;&gt;C337,"geändert","")))</f>
        <v/>
      </c>
      <c r="F337" s="13"/>
      <c r="G337" s="13"/>
      <c r="H337" t="s">
        <v>15</v>
      </c>
      <c r="I337" s="7"/>
      <c r="J337" s="1"/>
      <c r="K337" s="116">
        <v>1</v>
      </c>
      <c r="L337" s="1">
        <v>1</v>
      </c>
      <c r="M337" s="1">
        <v>1</v>
      </c>
      <c r="N337" s="1">
        <v>1</v>
      </c>
      <c r="O337" s="1">
        <v>1</v>
      </c>
      <c r="P337" s="1">
        <v>1</v>
      </c>
      <c r="Q337" s="1"/>
      <c r="R337" s="74">
        <v>1</v>
      </c>
      <c r="S337" s="85"/>
      <c r="T337" s="85"/>
      <c r="U337" s="85"/>
      <c r="V337" s="85"/>
      <c r="W337" s="85"/>
      <c r="X337" s="84">
        <v>1</v>
      </c>
      <c r="Y337" s="10"/>
      <c r="Z337" s="10"/>
      <c r="AA337" s="10"/>
      <c r="AB337" s="10"/>
      <c r="AC337" s="10"/>
      <c r="AD337" s="10"/>
      <c r="AE337" s="75"/>
      <c r="AF337" s="8"/>
      <c r="AG337" s="2">
        <f t="shared" si="18"/>
        <v>1</v>
      </c>
      <c r="AH337" s="78">
        <f t="shared" si="19"/>
        <v>6</v>
      </c>
    </row>
    <row r="338" spans="1:34" s="9" customFormat="1" x14ac:dyDescent="0.45">
      <c r="A338" s="39" t="s">
        <v>703</v>
      </c>
      <c r="B338" s="13"/>
      <c r="C338" s="39" t="s">
        <v>703</v>
      </c>
      <c r="D338" s="16"/>
      <c r="E338" s="13" t="str">
        <f>IF(ISBLANK(A338),"neu",IF(ISBLANK(C338),"weg",IF(A338&lt;&gt;C338,"geändert","")))</f>
        <v/>
      </c>
      <c r="F338" s="13"/>
      <c r="G338" s="13"/>
      <c r="H338" t="s">
        <v>15</v>
      </c>
      <c r="I338" s="7"/>
      <c r="J338" s="1"/>
      <c r="K338" s="116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/>
      <c r="R338" s="74">
        <v>1</v>
      </c>
      <c r="S338" s="85"/>
      <c r="T338" s="85"/>
      <c r="U338" s="85"/>
      <c r="V338" s="85"/>
      <c r="W338" s="85"/>
      <c r="X338" s="84">
        <v>1</v>
      </c>
      <c r="Y338" s="10"/>
      <c r="Z338" s="10"/>
      <c r="AA338" s="10"/>
      <c r="AB338" s="10"/>
      <c r="AC338" s="10"/>
      <c r="AD338" s="10"/>
      <c r="AE338" s="75"/>
      <c r="AF338" s="8"/>
      <c r="AG338" s="2">
        <f t="shared" si="18"/>
        <v>1</v>
      </c>
      <c r="AH338" s="78">
        <f t="shared" si="19"/>
        <v>6</v>
      </c>
    </row>
    <row r="339" spans="1:34" s="9" customFormat="1" x14ac:dyDescent="0.45">
      <c r="A339" s="16" t="s">
        <v>161</v>
      </c>
      <c r="B339" s="13"/>
      <c r="C339" s="16" t="s">
        <v>161</v>
      </c>
      <c r="D339" s="16"/>
      <c r="E339" s="13" t="str">
        <f>IF(ISBLANK(A339),"neu",IF(ISBLANK(C339),"weg",IF(A339&lt;&gt;C339,"geändert","")))</f>
        <v/>
      </c>
      <c r="F339" s="13"/>
      <c r="G339" s="13"/>
      <c r="H339" t="s">
        <v>14</v>
      </c>
      <c r="I339" s="7"/>
      <c r="J339" s="1"/>
      <c r="K339" s="1">
        <v>1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 s="1"/>
      <c r="R339" s="74">
        <v>1</v>
      </c>
      <c r="S339" s="1"/>
      <c r="T339" s="1"/>
      <c r="U339" s="1"/>
      <c r="V339" s="1"/>
      <c r="W339" s="1"/>
      <c r="X339" s="83">
        <v>1</v>
      </c>
      <c r="Y339" s="10"/>
      <c r="Z339" s="10"/>
      <c r="AA339" s="10"/>
      <c r="AB339" s="10"/>
      <c r="AC339" s="10"/>
      <c r="AD339" s="10"/>
      <c r="AE339" s="75"/>
      <c r="AF339" s="8"/>
      <c r="AG339" s="2">
        <f t="shared" si="18"/>
        <v>1</v>
      </c>
      <c r="AH339" s="78">
        <f t="shared" si="19"/>
        <v>6</v>
      </c>
    </row>
    <row r="340" spans="1:34" s="9" customFormat="1" x14ac:dyDescent="0.45">
      <c r="A340" s="16" t="s">
        <v>162</v>
      </c>
      <c r="B340" s="13"/>
      <c r="C340" s="16" t="s">
        <v>162</v>
      </c>
      <c r="D340" s="16"/>
      <c r="E340" s="13" t="str">
        <f>IF(ISBLANK(A340),"neu",IF(ISBLANK(C340),"weg",IF(A340&lt;&gt;C340,"geändert","")))</f>
        <v/>
      </c>
      <c r="F340" s="13"/>
      <c r="G340" s="13"/>
      <c r="H340" t="s">
        <v>14</v>
      </c>
      <c r="I340" s="7"/>
      <c r="J340" s="1"/>
      <c r="K340" s="1">
        <v>1</v>
      </c>
      <c r="L340" s="1">
        <v>1</v>
      </c>
      <c r="M340" s="1">
        <v>1</v>
      </c>
      <c r="N340" s="1">
        <v>1</v>
      </c>
      <c r="O340" s="1">
        <v>1</v>
      </c>
      <c r="P340" s="1">
        <v>1</v>
      </c>
      <c r="Q340" s="1"/>
      <c r="R340" s="74">
        <v>1</v>
      </c>
      <c r="S340" s="1"/>
      <c r="T340" s="1"/>
      <c r="U340" s="1"/>
      <c r="V340" s="1"/>
      <c r="W340" s="1"/>
      <c r="X340" s="83">
        <v>1</v>
      </c>
      <c r="Y340" s="10"/>
      <c r="Z340" s="10"/>
      <c r="AA340" s="10"/>
      <c r="AB340" s="10"/>
      <c r="AC340" s="10"/>
      <c r="AD340" s="10"/>
      <c r="AE340" s="75"/>
      <c r="AF340" s="8"/>
      <c r="AG340" s="2">
        <f t="shared" si="18"/>
        <v>1</v>
      </c>
      <c r="AH340" s="78">
        <f t="shared" si="19"/>
        <v>6</v>
      </c>
    </row>
    <row r="341" spans="1:34" s="9" customFormat="1" x14ac:dyDescent="0.45">
      <c r="A341" s="16" t="s">
        <v>163</v>
      </c>
      <c r="B341" s="13"/>
      <c r="C341" s="16" t="s">
        <v>163</v>
      </c>
      <c r="D341" s="16"/>
      <c r="E341" s="13" t="str">
        <f>IF(ISBLANK(A341),"neu",IF(ISBLANK(C341),"weg",IF(A341&lt;&gt;C341,"geändert","")))</f>
        <v/>
      </c>
      <c r="F341" s="13"/>
      <c r="G341" s="13"/>
      <c r="H341" t="s">
        <v>14</v>
      </c>
      <c r="I341" s="7"/>
      <c r="J341" s="1"/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/>
      <c r="R341" s="74">
        <v>1</v>
      </c>
      <c r="S341" s="1"/>
      <c r="T341" s="1"/>
      <c r="U341" s="1"/>
      <c r="V341" s="1"/>
      <c r="W341" s="1"/>
      <c r="X341" s="83">
        <v>1</v>
      </c>
      <c r="Y341" s="10"/>
      <c r="Z341" s="10"/>
      <c r="AA341" s="10"/>
      <c r="AB341" s="10"/>
      <c r="AC341" s="10"/>
      <c r="AD341" s="10"/>
      <c r="AE341" s="75"/>
      <c r="AF341" s="8"/>
      <c r="AG341" s="2">
        <f t="shared" si="18"/>
        <v>1</v>
      </c>
      <c r="AH341" s="78">
        <f t="shared" si="19"/>
        <v>6</v>
      </c>
    </row>
    <row r="342" spans="1:34" s="9" customFormat="1" x14ac:dyDescent="0.45">
      <c r="A342" s="16" t="s">
        <v>164</v>
      </c>
      <c r="B342" s="13"/>
      <c r="C342" s="16" t="s">
        <v>164</v>
      </c>
      <c r="D342" s="16"/>
      <c r="E342" s="13" t="str">
        <f>IF(ISBLANK(A342),"neu",IF(ISBLANK(C342),"weg",IF(A342&lt;&gt;C342,"geändert","")))</f>
        <v/>
      </c>
      <c r="F342" s="13"/>
      <c r="G342" s="13"/>
      <c r="H342" t="s">
        <v>14</v>
      </c>
      <c r="I342" s="7"/>
      <c r="J342" s="1"/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 s="1"/>
      <c r="R342" s="74">
        <v>1</v>
      </c>
      <c r="S342" s="1"/>
      <c r="T342" s="83">
        <v>1</v>
      </c>
      <c r="U342" s="1"/>
      <c r="V342" s="1"/>
      <c r="W342" s="1"/>
      <c r="X342" s="1"/>
      <c r="Y342" s="10"/>
      <c r="Z342" s="10"/>
      <c r="AA342" s="10"/>
      <c r="AB342" s="10"/>
      <c r="AC342" s="10"/>
      <c r="AD342" s="10"/>
      <c r="AE342" s="75"/>
      <c r="AF342" s="8"/>
      <c r="AG342" s="2">
        <f t="shared" si="18"/>
        <v>1</v>
      </c>
      <c r="AH342" s="78">
        <f t="shared" si="19"/>
        <v>2</v>
      </c>
    </row>
    <row r="343" spans="1:34" s="9" customFormat="1" x14ac:dyDescent="0.45">
      <c r="A343" s="16" t="s">
        <v>165</v>
      </c>
      <c r="B343" s="13"/>
      <c r="C343" s="16" t="s">
        <v>312</v>
      </c>
      <c r="D343" s="16"/>
      <c r="E343" s="13" t="str">
        <f>IF(ISBLANK(A343),"neu",IF(ISBLANK(C343),"weg",IF(A343&lt;&gt;C343,"geändert","")))</f>
        <v>geändert</v>
      </c>
      <c r="F343" s="13"/>
      <c r="G343" s="13"/>
      <c r="H343" t="s">
        <v>13</v>
      </c>
      <c r="I343" s="7"/>
      <c r="J343" s="1"/>
      <c r="K343" s="1">
        <v>1</v>
      </c>
      <c r="L343" s="1">
        <v>1</v>
      </c>
      <c r="M343" s="1">
        <v>1</v>
      </c>
      <c r="N343" s="1">
        <v>1</v>
      </c>
      <c r="O343" s="1">
        <v>1</v>
      </c>
      <c r="P343" s="1">
        <v>1</v>
      </c>
      <c r="Q343" s="1"/>
      <c r="R343" s="74">
        <v>1</v>
      </c>
      <c r="S343" s="1"/>
      <c r="T343" s="1"/>
      <c r="U343" s="83">
        <v>1</v>
      </c>
      <c r="V343" s="1"/>
      <c r="W343" s="1"/>
      <c r="X343" s="1"/>
      <c r="Y343" s="10"/>
      <c r="Z343" s="10"/>
      <c r="AA343" s="10"/>
      <c r="AB343" s="10"/>
      <c r="AC343" s="10"/>
      <c r="AD343" s="10"/>
      <c r="AE343" s="75"/>
      <c r="AF343" s="8"/>
      <c r="AG343" s="2">
        <f t="shared" si="18"/>
        <v>1</v>
      </c>
      <c r="AH343" s="78">
        <f t="shared" si="19"/>
        <v>3</v>
      </c>
    </row>
    <row r="344" spans="1:34" s="9" customFormat="1" x14ac:dyDescent="0.45">
      <c r="A344" s="16" t="s">
        <v>166</v>
      </c>
      <c r="B344" s="13"/>
      <c r="C344" s="16"/>
      <c r="D344" s="16"/>
      <c r="E344" s="13" t="str">
        <f>IF(ISBLANK(A344),"neu",IF(ISBLANK(C344),"weg",IF(A344&lt;&gt;C344,"geändert","")))</f>
        <v>weg</v>
      </c>
      <c r="F344" s="13"/>
      <c r="G344" s="13"/>
      <c r="H344"/>
      <c r="I344" s="7"/>
      <c r="J344" s="1"/>
      <c r="K344" s="1"/>
      <c r="L344" s="1"/>
      <c r="M344" s="1"/>
      <c r="N344" s="1"/>
      <c r="O344" s="1"/>
      <c r="P344" s="1"/>
      <c r="Q344" s="1"/>
      <c r="R344" s="74" t="s">
        <v>731</v>
      </c>
      <c r="S344" s="10"/>
      <c r="T344" s="10"/>
      <c r="U344" s="10"/>
      <c r="V344" s="10"/>
      <c r="W344" s="10"/>
      <c r="Y344" s="10"/>
      <c r="Z344" s="10"/>
      <c r="AA344" s="10"/>
      <c r="AB344" s="10"/>
      <c r="AC344" s="10"/>
      <c r="AD344" s="10"/>
      <c r="AE344" s="75"/>
      <c r="AF344" s="8"/>
      <c r="AG344" s="2" t="str">
        <f t="shared" si="18"/>
        <v/>
      </c>
      <c r="AH344" s="78" t="str">
        <f t="shared" si="19"/>
        <v/>
      </c>
    </row>
    <row r="345" spans="1:34" s="9" customFormat="1" x14ac:dyDescent="0.45">
      <c r="A345" s="16" t="s">
        <v>167</v>
      </c>
      <c r="B345" s="13"/>
      <c r="C345" s="16" t="s">
        <v>167</v>
      </c>
      <c r="D345" s="16"/>
      <c r="E345" s="13" t="str">
        <f>IF(ISBLANK(A345),"neu",IF(ISBLANK(C345),"weg",IF(A345&lt;&gt;C345,"geändert","")))</f>
        <v/>
      </c>
      <c r="F345" s="13"/>
      <c r="G345" s="13"/>
      <c r="H345" t="s">
        <v>13</v>
      </c>
      <c r="I345" s="7"/>
      <c r="J345" s="1"/>
      <c r="K345" s="1">
        <v>1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  <c r="Q345" s="1"/>
      <c r="R345" s="74">
        <v>1</v>
      </c>
      <c r="S345" s="1"/>
      <c r="T345" s="1"/>
      <c r="U345" s="83">
        <v>1</v>
      </c>
      <c r="V345" s="10"/>
      <c r="W345" s="10"/>
      <c r="Y345" s="10"/>
      <c r="Z345" s="10"/>
      <c r="AA345" s="10"/>
      <c r="AB345" s="10"/>
      <c r="AC345" s="10"/>
      <c r="AD345" s="10"/>
      <c r="AE345" s="75"/>
      <c r="AF345" s="8"/>
      <c r="AG345" s="2">
        <f t="shared" si="12"/>
        <v>1</v>
      </c>
      <c r="AH345" s="78">
        <f t="shared" si="13"/>
        <v>3</v>
      </c>
    </row>
    <row r="346" spans="1:34" s="9" customFormat="1" x14ac:dyDescent="0.45">
      <c r="A346" s="39" t="s">
        <v>704</v>
      </c>
      <c r="B346" s="13"/>
      <c r="C346" s="39" t="s">
        <v>704</v>
      </c>
      <c r="D346" s="16"/>
      <c r="E346" s="13" t="str">
        <f>IF(ISBLANK(A346),"neu",IF(ISBLANK(C346),"weg",IF(A346&lt;&gt;C346,"geändert","")))</f>
        <v/>
      </c>
      <c r="F346" s="13"/>
      <c r="G346" s="13"/>
      <c r="H346" t="s">
        <v>15</v>
      </c>
      <c r="I346" s="7"/>
      <c r="J346" s="1"/>
      <c r="K346" s="116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/>
      <c r="R346" s="74">
        <v>1</v>
      </c>
      <c r="S346" s="1"/>
      <c r="T346" s="1"/>
      <c r="U346" s="84">
        <v>1</v>
      </c>
      <c r="V346" s="10"/>
      <c r="W346" s="10"/>
      <c r="Y346" s="10"/>
      <c r="Z346" s="10"/>
      <c r="AA346" s="10"/>
      <c r="AB346" s="10"/>
      <c r="AC346" s="10"/>
      <c r="AD346" s="10"/>
      <c r="AE346" s="75"/>
      <c r="AF346" s="8"/>
      <c r="AG346" s="2">
        <f t="shared" ref="AG346" si="20">IF(SUM(S346:AF346)&gt;0,SUM(S346:AF346),"")</f>
        <v>1</v>
      </c>
      <c r="AH346" s="78">
        <f t="shared" ref="AH346" si="21">IF(SUM(S346:AF346)&lt;1,"",S346*1+T346*2+U346*3+V346*4+W346*5+X346*6+Y346*7+Z346*8+AA346*9+AB346*10+AC346*11+AD346*12+AE346*13+AF346*14)</f>
        <v>3</v>
      </c>
    </row>
    <row r="347" spans="1:34" s="9" customFormat="1" x14ac:dyDescent="0.45">
      <c r="A347" s="16" t="s">
        <v>168</v>
      </c>
      <c r="B347" s="13"/>
      <c r="C347" s="16" t="s">
        <v>313</v>
      </c>
      <c r="D347" s="16"/>
      <c r="E347" s="13" t="str">
        <f>IF(ISBLANK(A347),"neu",IF(ISBLANK(C347),"weg",IF(A347&lt;&gt;C347,"geändert","")))</f>
        <v>geändert</v>
      </c>
      <c r="F347" s="13"/>
      <c r="G347" s="13"/>
      <c r="H347" t="s">
        <v>13</v>
      </c>
      <c r="I347" s="7"/>
      <c r="J347" s="1"/>
      <c r="K347" s="1">
        <v>1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  <c r="Q347" s="1"/>
      <c r="R347" s="74">
        <v>1</v>
      </c>
      <c r="S347" s="1"/>
      <c r="T347" s="1"/>
      <c r="U347" s="83">
        <v>1</v>
      </c>
      <c r="V347" s="10"/>
      <c r="W347" s="10"/>
      <c r="Y347" s="10"/>
      <c r="Z347" s="10"/>
      <c r="AA347" s="10"/>
      <c r="AB347" s="10"/>
      <c r="AC347" s="10"/>
      <c r="AD347" s="10"/>
      <c r="AE347" s="75"/>
      <c r="AF347" s="8"/>
      <c r="AG347" s="2">
        <f t="shared" si="12"/>
        <v>1</v>
      </c>
      <c r="AH347" s="78">
        <f t="shared" si="13"/>
        <v>3</v>
      </c>
    </row>
    <row r="348" spans="1:34" s="9" customFormat="1" x14ac:dyDescent="0.45">
      <c r="A348" s="16" t="s">
        <v>169</v>
      </c>
      <c r="B348" s="13"/>
      <c r="C348" s="16"/>
      <c r="D348" s="16"/>
      <c r="E348" s="13" t="str">
        <f>IF(ISBLANK(A348),"neu",IF(ISBLANK(C348),"weg",IF(A348&lt;&gt;C348,"geändert","")))</f>
        <v>weg</v>
      </c>
      <c r="F348" s="13"/>
      <c r="G348" s="13"/>
      <c r="H348"/>
      <c r="I348" s="7"/>
      <c r="J348" s="1"/>
      <c r="K348" s="1"/>
      <c r="L348" s="1"/>
      <c r="M348" s="1"/>
      <c r="N348" s="1"/>
      <c r="O348" s="1"/>
      <c r="P348" s="1"/>
      <c r="Q348" s="1"/>
      <c r="R348" s="74" t="s">
        <v>731</v>
      </c>
      <c r="S348" s="10"/>
      <c r="T348" s="10"/>
      <c r="U348" s="10"/>
      <c r="V348" s="10"/>
      <c r="W348" s="10"/>
      <c r="Y348" s="10"/>
      <c r="Z348" s="10"/>
      <c r="AA348" s="10"/>
      <c r="AB348" s="10"/>
      <c r="AC348" s="10"/>
      <c r="AD348" s="10"/>
      <c r="AE348" s="75"/>
      <c r="AF348" s="8"/>
      <c r="AG348" s="2" t="str">
        <f t="shared" si="12"/>
        <v/>
      </c>
      <c r="AH348" s="78" t="str">
        <f t="shared" si="13"/>
        <v/>
      </c>
    </row>
    <row r="349" spans="1:34" s="9" customFormat="1" x14ac:dyDescent="0.45">
      <c r="A349" s="16" t="s">
        <v>170</v>
      </c>
      <c r="B349" s="13"/>
      <c r="C349" s="16" t="s">
        <v>170</v>
      </c>
      <c r="D349" s="16"/>
      <c r="E349" s="13" t="str">
        <f>IF(ISBLANK(A349),"neu",IF(ISBLANK(C349),"weg",IF(A349&lt;&gt;C349,"geändert","")))</f>
        <v/>
      </c>
      <c r="F349" s="13"/>
      <c r="G349" s="13"/>
      <c r="H349" t="s">
        <v>13</v>
      </c>
      <c r="I349" s="7"/>
      <c r="J349" s="1"/>
      <c r="K349" s="1">
        <v>1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 s="1"/>
      <c r="R349" s="74">
        <v>1</v>
      </c>
      <c r="S349" s="1"/>
      <c r="T349" s="1"/>
      <c r="U349" s="1"/>
      <c r="V349" s="1"/>
      <c r="W349" s="1"/>
      <c r="X349" s="1"/>
      <c r="Y349" s="83">
        <v>1</v>
      </c>
      <c r="Z349" s="10"/>
      <c r="AA349" s="10"/>
      <c r="AB349" s="10"/>
      <c r="AC349" s="10"/>
      <c r="AD349" s="10"/>
      <c r="AE349" s="75"/>
      <c r="AF349" s="8"/>
      <c r="AG349" s="2">
        <f t="shared" si="12"/>
        <v>1</v>
      </c>
      <c r="AH349" s="78">
        <f t="shared" si="13"/>
        <v>7</v>
      </c>
    </row>
    <row r="350" spans="1:34" s="9" customFormat="1" x14ac:dyDescent="0.45">
      <c r="A350" s="16" t="s">
        <v>171</v>
      </c>
      <c r="B350" s="13"/>
      <c r="C350" s="16" t="s">
        <v>171</v>
      </c>
      <c r="D350" s="16"/>
      <c r="E350" s="13" t="str">
        <f>IF(ISBLANK(A350),"neu",IF(ISBLANK(C350),"weg",IF(A350&lt;&gt;C350,"geändert","")))</f>
        <v/>
      </c>
      <c r="F350" s="13"/>
      <c r="G350" s="13"/>
      <c r="H350" t="s">
        <v>13</v>
      </c>
      <c r="I350" s="7"/>
      <c r="J350" s="1"/>
      <c r="K350" s="1">
        <v>1</v>
      </c>
      <c r="L350" s="1">
        <v>1</v>
      </c>
      <c r="M350" s="1">
        <v>1</v>
      </c>
      <c r="N350" s="1">
        <v>1</v>
      </c>
      <c r="O350" s="1">
        <v>1</v>
      </c>
      <c r="P350" s="1">
        <v>1</v>
      </c>
      <c r="Q350" s="1"/>
      <c r="R350" s="74">
        <v>1</v>
      </c>
      <c r="S350" s="1"/>
      <c r="T350" s="1"/>
      <c r="U350" s="1"/>
      <c r="V350" s="1"/>
      <c r="W350" s="1"/>
      <c r="X350" s="1"/>
      <c r="Y350" s="83">
        <v>1</v>
      </c>
      <c r="Z350" s="10"/>
      <c r="AA350" s="10"/>
      <c r="AB350" s="10"/>
      <c r="AC350" s="10"/>
      <c r="AD350" s="10"/>
      <c r="AE350" s="75"/>
      <c r="AF350" s="8"/>
      <c r="AG350" s="2">
        <f t="shared" si="12"/>
        <v>1</v>
      </c>
      <c r="AH350" s="78">
        <f t="shared" si="13"/>
        <v>7</v>
      </c>
    </row>
    <row r="351" spans="1:34" s="9" customFormat="1" x14ac:dyDescent="0.45">
      <c r="A351" s="39" t="s">
        <v>705</v>
      </c>
      <c r="B351" s="13"/>
      <c r="C351" s="39" t="s">
        <v>705</v>
      </c>
      <c r="D351" s="16"/>
      <c r="E351" s="13"/>
      <c r="F351" s="13"/>
      <c r="G351" s="13"/>
      <c r="H351" t="s">
        <v>15</v>
      </c>
      <c r="I351" s="7"/>
      <c r="J351" s="1"/>
      <c r="K351" s="116">
        <v>1</v>
      </c>
      <c r="L351" s="1">
        <v>1</v>
      </c>
      <c r="M351" s="1">
        <v>1</v>
      </c>
      <c r="N351" s="1">
        <v>1</v>
      </c>
      <c r="O351" s="1">
        <v>1</v>
      </c>
      <c r="P351" s="1">
        <v>1</v>
      </c>
      <c r="Q351" s="1"/>
      <c r="R351" s="74">
        <v>1</v>
      </c>
      <c r="S351" s="85"/>
      <c r="T351" s="85"/>
      <c r="U351" s="85"/>
      <c r="V351" s="85"/>
      <c r="W351" s="85"/>
      <c r="X351" s="85"/>
      <c r="Y351" s="84">
        <v>1</v>
      </c>
      <c r="Z351" s="85"/>
      <c r="AA351" s="10"/>
      <c r="AB351" s="10"/>
      <c r="AC351" s="10"/>
      <c r="AD351" s="10"/>
      <c r="AE351" s="75"/>
      <c r="AF351" s="8"/>
      <c r="AG351" s="2">
        <f t="shared" ref="AG351:AG354" si="22">IF(SUM(S351:AF351)&gt;0,SUM(S351:AF351),"")</f>
        <v>1</v>
      </c>
      <c r="AH351" s="78">
        <f t="shared" ref="AH351:AH354" si="23">IF(SUM(S351:AF351)&lt;1,"",S351*1+T351*2+U351*3+V351*4+W351*5+X351*6+Y351*7+Z351*8+AA351*9+AB351*10+AC351*11+AD351*12+AE351*13+AF351*14)</f>
        <v>7</v>
      </c>
    </row>
    <row r="352" spans="1:34" s="9" customFormat="1" x14ac:dyDescent="0.45">
      <c r="A352" s="40" t="s">
        <v>706</v>
      </c>
      <c r="B352" s="13"/>
      <c r="C352" s="40" t="s">
        <v>706</v>
      </c>
      <c r="D352" s="16"/>
      <c r="E352" s="13"/>
      <c r="F352" s="13"/>
      <c r="G352" s="13"/>
      <c r="H352" t="s">
        <v>15</v>
      </c>
      <c r="I352" s="7"/>
      <c r="J352" s="1"/>
      <c r="K352" s="116">
        <v>1</v>
      </c>
      <c r="L352" s="1">
        <v>1</v>
      </c>
      <c r="M352" s="1">
        <v>1</v>
      </c>
      <c r="N352" s="1">
        <v>1</v>
      </c>
      <c r="O352" s="1">
        <v>1</v>
      </c>
      <c r="P352" s="1">
        <v>1</v>
      </c>
      <c r="Q352" s="1"/>
      <c r="R352" s="74">
        <v>1</v>
      </c>
      <c r="S352" s="85"/>
      <c r="T352" s="85"/>
      <c r="U352" s="85"/>
      <c r="V352" s="85"/>
      <c r="W352" s="85"/>
      <c r="X352" s="85"/>
      <c r="Y352" s="84">
        <v>1</v>
      </c>
      <c r="Z352" s="85"/>
      <c r="AA352" s="10"/>
      <c r="AB352" s="10"/>
      <c r="AC352" s="10"/>
      <c r="AD352" s="10"/>
      <c r="AE352" s="75"/>
      <c r="AF352" s="8"/>
      <c r="AG352" s="2">
        <f t="shared" si="22"/>
        <v>1</v>
      </c>
      <c r="AH352" s="78">
        <f t="shared" si="23"/>
        <v>7</v>
      </c>
    </row>
    <row r="353" spans="1:34" s="9" customFormat="1" x14ac:dyDescent="0.45">
      <c r="A353" s="39" t="s">
        <v>707</v>
      </c>
      <c r="B353" s="13"/>
      <c r="C353" s="39" t="s">
        <v>707</v>
      </c>
      <c r="D353" s="16"/>
      <c r="E353" s="13"/>
      <c r="F353" s="13"/>
      <c r="G353" s="13"/>
      <c r="H353" t="s">
        <v>15</v>
      </c>
      <c r="I353" s="7"/>
      <c r="J353" s="1"/>
      <c r="K353" s="116">
        <v>1</v>
      </c>
      <c r="L353" s="1">
        <v>1</v>
      </c>
      <c r="M353" s="1">
        <v>1</v>
      </c>
      <c r="N353" s="1">
        <v>1</v>
      </c>
      <c r="O353" s="1">
        <v>1</v>
      </c>
      <c r="P353" s="1">
        <v>1</v>
      </c>
      <c r="Q353" s="1"/>
      <c r="R353" s="74">
        <v>1</v>
      </c>
      <c r="S353" s="85"/>
      <c r="T353" s="85"/>
      <c r="U353" s="85"/>
      <c r="V353" s="85"/>
      <c r="W353" s="85"/>
      <c r="X353" s="85"/>
      <c r="Y353" s="85"/>
      <c r="Z353" s="84">
        <v>1</v>
      </c>
      <c r="AA353" s="10"/>
      <c r="AB353" s="10"/>
      <c r="AC353" s="10"/>
      <c r="AD353" s="10"/>
      <c r="AE353" s="75"/>
      <c r="AF353" s="8"/>
      <c r="AG353" s="2">
        <f t="shared" si="22"/>
        <v>1</v>
      </c>
      <c r="AH353" s="78">
        <f t="shared" si="23"/>
        <v>8</v>
      </c>
    </row>
    <row r="354" spans="1:34" s="9" customFormat="1" x14ac:dyDescent="0.45">
      <c r="A354" s="39" t="s">
        <v>708</v>
      </c>
      <c r="B354" s="13"/>
      <c r="C354" s="39" t="s">
        <v>708</v>
      </c>
      <c r="D354" s="16"/>
      <c r="E354" s="13"/>
      <c r="F354" s="13"/>
      <c r="G354" s="13"/>
      <c r="H354" t="s">
        <v>15</v>
      </c>
      <c r="I354" s="7"/>
      <c r="J354" s="1"/>
      <c r="K354" s="116">
        <v>1</v>
      </c>
      <c r="L354" s="1">
        <v>1</v>
      </c>
      <c r="M354" s="1">
        <v>1</v>
      </c>
      <c r="N354" s="1">
        <v>1</v>
      </c>
      <c r="O354" s="1">
        <v>1</v>
      </c>
      <c r="P354" s="1">
        <v>1</v>
      </c>
      <c r="Q354" s="1"/>
      <c r="R354" s="74">
        <v>1</v>
      </c>
      <c r="S354" s="85"/>
      <c r="T354" s="85"/>
      <c r="U354" s="85"/>
      <c r="V354" s="85"/>
      <c r="W354" s="85"/>
      <c r="X354" s="85"/>
      <c r="Y354" s="84">
        <v>1</v>
      </c>
      <c r="Z354" s="85"/>
      <c r="AA354" s="10"/>
      <c r="AB354" s="10"/>
      <c r="AC354" s="10"/>
      <c r="AD354" s="10"/>
      <c r="AE354" s="75"/>
      <c r="AF354" s="8"/>
      <c r="AG354" s="2">
        <f t="shared" si="22"/>
        <v>1</v>
      </c>
      <c r="AH354" s="78">
        <f t="shared" si="23"/>
        <v>7</v>
      </c>
    </row>
    <row r="355" spans="1:34" s="9" customFormat="1" x14ac:dyDescent="0.45">
      <c r="A355" s="16" t="s">
        <v>172</v>
      </c>
      <c r="B355" s="13"/>
      <c r="C355" s="16" t="s">
        <v>172</v>
      </c>
      <c r="D355" s="16"/>
      <c r="E355" s="13" t="str">
        <f>IF(ISBLANK(A355),"neu",IF(ISBLANK(C355),"weg",IF(A355&lt;&gt;C355,"geändert","")))</f>
        <v/>
      </c>
      <c r="F355" s="13"/>
      <c r="G355" s="13"/>
      <c r="H355" t="s">
        <v>13</v>
      </c>
      <c r="I355" s="7"/>
      <c r="J355" s="1"/>
      <c r="K355" s="1">
        <v>1</v>
      </c>
      <c r="L355" s="1">
        <v>1</v>
      </c>
      <c r="M355" s="1">
        <v>1</v>
      </c>
      <c r="N355" s="1">
        <v>1</v>
      </c>
      <c r="O355" s="1">
        <v>1</v>
      </c>
      <c r="P355" s="1">
        <v>1</v>
      </c>
      <c r="Q355" s="1"/>
      <c r="R355" s="74">
        <v>1</v>
      </c>
      <c r="S355" s="1"/>
      <c r="T355" s="1"/>
      <c r="U355" s="1"/>
      <c r="V355" s="1"/>
      <c r="W355" s="1"/>
      <c r="X355" s="1"/>
      <c r="Y355" s="83">
        <v>1</v>
      </c>
      <c r="Z355" s="10"/>
      <c r="AA355" s="10"/>
      <c r="AB355" s="10"/>
      <c r="AC355" s="10"/>
      <c r="AD355" s="10"/>
      <c r="AE355" s="75"/>
      <c r="AF355" s="8"/>
      <c r="AG355" s="2">
        <f t="shared" si="12"/>
        <v>1</v>
      </c>
      <c r="AH355" s="78">
        <f t="shared" si="13"/>
        <v>7</v>
      </c>
    </row>
    <row r="356" spans="1:34" s="9" customFormat="1" x14ac:dyDescent="0.45">
      <c r="A356" s="39" t="s">
        <v>709</v>
      </c>
      <c r="B356" s="13"/>
      <c r="C356" s="39" t="s">
        <v>709</v>
      </c>
      <c r="D356" s="16"/>
      <c r="E356" s="13"/>
      <c r="F356" s="13"/>
      <c r="G356" s="13"/>
      <c r="H356" t="s">
        <v>15</v>
      </c>
      <c r="I356" s="7"/>
      <c r="J356" s="1"/>
      <c r="K356" s="116">
        <v>1</v>
      </c>
      <c r="L356" s="1">
        <v>1</v>
      </c>
      <c r="M356" s="1">
        <v>1</v>
      </c>
      <c r="N356" s="1">
        <v>1</v>
      </c>
      <c r="O356" s="1">
        <v>1</v>
      </c>
      <c r="P356" s="1">
        <v>1</v>
      </c>
      <c r="Q356" s="1"/>
      <c r="R356" s="74">
        <v>1</v>
      </c>
      <c r="S356" s="85"/>
      <c r="T356" s="85"/>
      <c r="U356" s="85"/>
      <c r="V356" s="85"/>
      <c r="W356" s="85"/>
      <c r="X356" s="85"/>
      <c r="Y356" s="84">
        <v>1</v>
      </c>
      <c r="Z356" s="10"/>
      <c r="AA356" s="10"/>
      <c r="AB356" s="10"/>
      <c r="AC356" s="10"/>
      <c r="AD356" s="10"/>
      <c r="AE356" s="75"/>
      <c r="AF356" s="8"/>
      <c r="AG356" s="2">
        <f t="shared" ref="AG356:AG419" si="24">IF(SUM(S356:AF356)&gt;0,SUM(S356:AF356),"")</f>
        <v>1</v>
      </c>
      <c r="AH356" s="78">
        <f t="shared" ref="AH356:AH419" si="25">IF(SUM(S356:AF356)&lt;1,"",S356*1+T356*2+U356*3+V356*4+W356*5+X356*6+Y356*7+Z356*8+AA356*9+AB356*10+AC356*11+AD356*12+AE356*13+AF356*14)</f>
        <v>7</v>
      </c>
    </row>
    <row r="357" spans="1:34" s="9" customFormat="1" x14ac:dyDescent="0.45">
      <c r="A357" s="39" t="s">
        <v>710</v>
      </c>
      <c r="B357" s="13"/>
      <c r="C357" s="39" t="s">
        <v>710</v>
      </c>
      <c r="D357" s="16"/>
      <c r="E357" s="13"/>
      <c r="F357" s="13"/>
      <c r="G357" s="13"/>
      <c r="H357" t="s">
        <v>15</v>
      </c>
      <c r="I357" s="7"/>
      <c r="J357" s="1"/>
      <c r="K357" s="116">
        <v>1</v>
      </c>
      <c r="L357" s="1">
        <v>1</v>
      </c>
      <c r="M357" s="1">
        <v>1</v>
      </c>
      <c r="N357" s="1">
        <v>1</v>
      </c>
      <c r="O357" s="1">
        <v>1</v>
      </c>
      <c r="P357" s="1">
        <v>1</v>
      </c>
      <c r="Q357" s="1"/>
      <c r="R357" s="74">
        <v>1</v>
      </c>
      <c r="S357" s="85"/>
      <c r="T357" s="85"/>
      <c r="U357" s="85"/>
      <c r="V357" s="85"/>
      <c r="W357" s="85"/>
      <c r="X357" s="85"/>
      <c r="Y357" s="84">
        <v>1</v>
      </c>
      <c r="Z357" s="10"/>
      <c r="AA357" s="10"/>
      <c r="AB357" s="10"/>
      <c r="AC357" s="10"/>
      <c r="AD357" s="10"/>
      <c r="AE357" s="75"/>
      <c r="AF357" s="8"/>
      <c r="AG357" s="2">
        <f t="shared" si="24"/>
        <v>1</v>
      </c>
      <c r="AH357" s="78">
        <f t="shared" si="25"/>
        <v>7</v>
      </c>
    </row>
    <row r="358" spans="1:34" s="9" customFormat="1" x14ac:dyDescent="0.45">
      <c r="A358" s="16" t="s">
        <v>366</v>
      </c>
      <c r="B358" s="13"/>
      <c r="C358" s="16" t="s">
        <v>314</v>
      </c>
      <c r="D358" s="16"/>
      <c r="E358" s="13" t="str">
        <f>IF(ISBLANK(A358),"neu",IF(ISBLANK(C358),"weg",IF(A358&lt;&gt;C358,"geändert","")))</f>
        <v>geändert</v>
      </c>
      <c r="F358" s="13"/>
      <c r="G358" s="13"/>
      <c r="H358" t="s">
        <v>13</v>
      </c>
      <c r="I358" s="7"/>
      <c r="J358" s="1"/>
      <c r="K358" s="1">
        <v>1</v>
      </c>
      <c r="L358" s="1">
        <v>1</v>
      </c>
      <c r="M358" s="1">
        <v>1</v>
      </c>
      <c r="N358" s="1">
        <v>1</v>
      </c>
      <c r="O358" s="1">
        <v>1</v>
      </c>
      <c r="P358" s="1">
        <v>1</v>
      </c>
      <c r="Q358" s="1"/>
      <c r="R358" s="74">
        <v>1</v>
      </c>
      <c r="S358" s="1"/>
      <c r="T358" s="83">
        <v>1</v>
      </c>
      <c r="U358" s="10"/>
      <c r="V358" s="10"/>
      <c r="W358" s="10"/>
      <c r="Y358" s="10"/>
      <c r="Z358" s="10"/>
      <c r="AA358" s="10"/>
      <c r="AB358" s="10"/>
      <c r="AC358" s="10"/>
      <c r="AD358" s="10"/>
      <c r="AE358" s="75"/>
      <c r="AF358" s="8"/>
      <c r="AG358" s="2">
        <f t="shared" si="24"/>
        <v>1</v>
      </c>
      <c r="AH358" s="78">
        <f t="shared" si="25"/>
        <v>2</v>
      </c>
    </row>
    <row r="359" spans="1:34" s="9" customFormat="1" x14ac:dyDescent="0.45">
      <c r="A359" s="16" t="s">
        <v>173</v>
      </c>
      <c r="B359" s="13"/>
      <c r="C359" s="16" t="s">
        <v>173</v>
      </c>
      <c r="D359" s="16"/>
      <c r="E359" s="13" t="str">
        <f>IF(ISBLANK(A359),"neu",IF(ISBLANK(C359),"weg",IF(A359&lt;&gt;C359,"geändert","")))</f>
        <v/>
      </c>
      <c r="F359" s="13"/>
      <c r="G359" s="13"/>
      <c r="H359" t="s">
        <v>13</v>
      </c>
      <c r="I359" s="7"/>
      <c r="J359" s="1"/>
      <c r="K359" s="1">
        <v>1</v>
      </c>
      <c r="L359" s="1">
        <v>1</v>
      </c>
      <c r="M359" s="1">
        <v>1</v>
      </c>
      <c r="N359" s="1">
        <v>1</v>
      </c>
      <c r="O359" s="1">
        <v>1</v>
      </c>
      <c r="P359" s="1">
        <v>1</v>
      </c>
      <c r="Q359" s="1"/>
      <c r="R359" s="74">
        <v>1</v>
      </c>
      <c r="S359" s="1"/>
      <c r="T359" s="1"/>
      <c r="U359" s="83">
        <v>1</v>
      </c>
      <c r="V359" s="10"/>
      <c r="W359" s="10"/>
      <c r="Y359" s="10"/>
      <c r="Z359" s="10"/>
      <c r="AA359" s="10"/>
      <c r="AB359" s="10"/>
      <c r="AC359" s="10"/>
      <c r="AD359" s="10"/>
      <c r="AE359" s="75"/>
      <c r="AF359" s="8"/>
      <c r="AG359" s="2">
        <f t="shared" si="24"/>
        <v>1</v>
      </c>
      <c r="AH359" s="78">
        <f t="shared" si="25"/>
        <v>3</v>
      </c>
    </row>
    <row r="360" spans="1:34" s="9" customFormat="1" x14ac:dyDescent="0.45">
      <c r="A360" s="16" t="s">
        <v>174</v>
      </c>
      <c r="B360" s="13"/>
      <c r="C360" s="16" t="s">
        <v>174</v>
      </c>
      <c r="D360" s="16"/>
      <c r="E360" s="13" t="str">
        <f>IF(ISBLANK(A360),"neu",IF(ISBLANK(C360),"weg",IF(A360&lt;&gt;C360,"geändert","")))</f>
        <v/>
      </c>
      <c r="F360" s="13"/>
      <c r="G360" s="13"/>
      <c r="H360" t="s">
        <v>13</v>
      </c>
      <c r="I360" s="7"/>
      <c r="J360" s="1"/>
      <c r="K360" s="1">
        <v>1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 s="1"/>
      <c r="R360" s="74">
        <v>1</v>
      </c>
      <c r="S360" s="1"/>
      <c r="T360" s="83">
        <v>1</v>
      </c>
      <c r="U360" s="1"/>
      <c r="V360" s="10"/>
      <c r="W360" s="10"/>
      <c r="Y360" s="10"/>
      <c r="Z360" s="10"/>
      <c r="AA360" s="10"/>
      <c r="AB360" s="10"/>
      <c r="AC360" s="10"/>
      <c r="AD360" s="10"/>
      <c r="AE360" s="75"/>
      <c r="AF360" s="8"/>
      <c r="AG360" s="2">
        <f t="shared" si="24"/>
        <v>1</v>
      </c>
      <c r="AH360" s="78">
        <f t="shared" si="25"/>
        <v>2</v>
      </c>
    </row>
    <row r="361" spans="1:34" s="9" customFormat="1" x14ac:dyDescent="0.45">
      <c r="A361" s="16" t="s">
        <v>175</v>
      </c>
      <c r="B361" s="13"/>
      <c r="C361" s="16" t="s">
        <v>175</v>
      </c>
      <c r="D361" s="16"/>
      <c r="E361" s="13" t="str">
        <f>IF(ISBLANK(A361),"neu",IF(ISBLANK(C361),"weg",IF(A361&lt;&gt;C361,"geändert","")))</f>
        <v/>
      </c>
      <c r="F361" s="13"/>
      <c r="G361" s="13"/>
      <c r="H361" t="s">
        <v>14</v>
      </c>
      <c r="I361" s="7"/>
      <c r="J361" s="1"/>
      <c r="K361" s="1">
        <v>1</v>
      </c>
      <c r="L361" s="1">
        <v>1</v>
      </c>
      <c r="M361" s="1">
        <v>1</v>
      </c>
      <c r="N361" s="1">
        <v>1</v>
      </c>
      <c r="O361" s="1">
        <v>1</v>
      </c>
      <c r="P361" s="1">
        <v>1</v>
      </c>
      <c r="Q361" s="1"/>
      <c r="R361" s="74">
        <v>1</v>
      </c>
      <c r="S361" s="1"/>
      <c r="T361" s="83">
        <v>1</v>
      </c>
      <c r="U361" s="1"/>
      <c r="V361" s="10"/>
      <c r="W361" s="10"/>
      <c r="Y361" s="10"/>
      <c r="Z361" s="10"/>
      <c r="AA361" s="10"/>
      <c r="AB361" s="10"/>
      <c r="AC361" s="10"/>
      <c r="AD361" s="10"/>
      <c r="AE361" s="75"/>
      <c r="AF361" s="8"/>
      <c r="AG361" s="2">
        <f t="shared" si="24"/>
        <v>1</v>
      </c>
      <c r="AH361" s="78">
        <f t="shared" si="25"/>
        <v>2</v>
      </c>
    </row>
    <row r="362" spans="1:34" s="9" customFormat="1" x14ac:dyDescent="0.45">
      <c r="A362" s="16" t="s">
        <v>176</v>
      </c>
      <c r="B362" s="13"/>
      <c r="C362" s="16" t="s">
        <v>176</v>
      </c>
      <c r="D362" s="16"/>
      <c r="E362" s="13" t="str">
        <f>IF(ISBLANK(A362),"neu",IF(ISBLANK(C362),"weg",IF(A362&lt;&gt;C362,"geändert","")))</f>
        <v/>
      </c>
      <c r="F362" s="13"/>
      <c r="G362" s="13"/>
      <c r="H362" t="s">
        <v>14</v>
      </c>
      <c r="I362" s="7"/>
      <c r="J362" s="1"/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1</v>
      </c>
      <c r="Q362" s="1"/>
      <c r="R362" s="74">
        <v>1</v>
      </c>
      <c r="S362" s="1"/>
      <c r="T362" s="1"/>
      <c r="U362" s="83">
        <v>1</v>
      </c>
      <c r="V362" s="10"/>
      <c r="W362" s="10"/>
      <c r="Y362" s="10"/>
      <c r="Z362" s="10"/>
      <c r="AA362" s="10"/>
      <c r="AB362" s="10"/>
      <c r="AC362" s="10"/>
      <c r="AD362" s="10"/>
      <c r="AE362" s="75"/>
      <c r="AF362" s="8"/>
      <c r="AG362" s="2">
        <f t="shared" si="24"/>
        <v>1</v>
      </c>
      <c r="AH362" s="78">
        <f t="shared" si="25"/>
        <v>3</v>
      </c>
    </row>
    <row r="363" spans="1:34" s="9" customFormat="1" x14ac:dyDescent="0.45">
      <c r="A363" s="39" t="s">
        <v>711</v>
      </c>
      <c r="B363" s="13"/>
      <c r="C363" s="39" t="s">
        <v>711</v>
      </c>
      <c r="D363" s="16"/>
      <c r="E363" s="13" t="str">
        <f>IF(ISBLANK(A363),"neu",IF(ISBLANK(C363),"weg",IF(A363&lt;&gt;C363,"geändert","")))</f>
        <v/>
      </c>
      <c r="F363" s="13"/>
      <c r="G363" s="13"/>
      <c r="H363" t="s">
        <v>15</v>
      </c>
      <c r="I363" s="7"/>
      <c r="J363" s="1"/>
      <c r="K363" s="1"/>
      <c r="L363" s="1">
        <v>1</v>
      </c>
      <c r="M363" s="1">
        <v>1</v>
      </c>
      <c r="N363" s="1">
        <v>1</v>
      </c>
      <c r="O363" s="1">
        <v>1</v>
      </c>
      <c r="P363" s="1">
        <v>1</v>
      </c>
      <c r="Q363" s="1"/>
      <c r="R363" s="74">
        <v>1</v>
      </c>
      <c r="S363" s="85"/>
      <c r="T363" s="84">
        <v>1</v>
      </c>
      <c r="U363" s="85"/>
      <c r="V363" s="10"/>
      <c r="W363" s="10"/>
      <c r="Y363" s="10"/>
      <c r="Z363" s="10"/>
      <c r="AA363" s="10"/>
      <c r="AB363" s="10"/>
      <c r="AC363" s="10"/>
      <c r="AD363" s="10"/>
      <c r="AE363" s="75"/>
      <c r="AF363" s="8"/>
      <c r="AG363" s="2">
        <f t="shared" si="24"/>
        <v>1</v>
      </c>
      <c r="AH363" s="78">
        <f t="shared" si="25"/>
        <v>2</v>
      </c>
    </row>
    <row r="364" spans="1:34" s="9" customFormat="1" x14ac:dyDescent="0.45">
      <c r="A364" s="39" t="s">
        <v>712</v>
      </c>
      <c r="B364" s="13"/>
      <c r="C364" s="39" t="s">
        <v>712</v>
      </c>
      <c r="D364" s="16"/>
      <c r="E364" s="13" t="str">
        <f>IF(ISBLANK(A364),"neu",IF(ISBLANK(C364),"weg",IF(A364&lt;&gt;C364,"geändert","")))</f>
        <v/>
      </c>
      <c r="F364" s="13"/>
      <c r="G364" s="13"/>
      <c r="H364" t="s">
        <v>15</v>
      </c>
      <c r="I364" s="7"/>
      <c r="J364" s="1"/>
      <c r="K364" s="1"/>
      <c r="L364" s="1">
        <v>1</v>
      </c>
      <c r="M364" s="1">
        <v>1</v>
      </c>
      <c r="N364" s="1">
        <v>1</v>
      </c>
      <c r="O364" s="1">
        <v>1</v>
      </c>
      <c r="P364" s="1">
        <v>1</v>
      </c>
      <c r="Q364" s="1"/>
      <c r="R364" s="74">
        <v>1</v>
      </c>
      <c r="S364" s="85"/>
      <c r="T364" s="84">
        <v>1</v>
      </c>
      <c r="U364" s="85"/>
      <c r="V364" s="10"/>
      <c r="W364" s="10"/>
      <c r="Y364" s="10"/>
      <c r="Z364" s="10"/>
      <c r="AA364" s="10"/>
      <c r="AB364" s="10"/>
      <c r="AC364" s="10"/>
      <c r="AD364" s="10"/>
      <c r="AE364" s="75"/>
      <c r="AF364" s="8"/>
      <c r="AG364" s="2">
        <f t="shared" si="24"/>
        <v>1</v>
      </c>
      <c r="AH364" s="78">
        <f t="shared" si="25"/>
        <v>2</v>
      </c>
    </row>
    <row r="365" spans="1:34" s="9" customFormat="1" x14ac:dyDescent="0.45">
      <c r="A365" s="39" t="s">
        <v>713</v>
      </c>
      <c r="B365" s="13"/>
      <c r="C365" s="39" t="s">
        <v>713</v>
      </c>
      <c r="D365" s="16"/>
      <c r="E365" s="13" t="str">
        <f>IF(ISBLANK(A365),"neu",IF(ISBLANK(C365),"weg",IF(A365&lt;&gt;C365,"geändert","")))</f>
        <v/>
      </c>
      <c r="F365" s="13"/>
      <c r="G365" s="13"/>
      <c r="H365" t="s">
        <v>15</v>
      </c>
      <c r="I365" s="7"/>
      <c r="J365" s="1"/>
      <c r="K365" s="1"/>
      <c r="L365" s="1">
        <v>1</v>
      </c>
      <c r="M365" s="1">
        <v>1</v>
      </c>
      <c r="N365" s="1">
        <v>1</v>
      </c>
      <c r="O365" s="1">
        <v>1</v>
      </c>
      <c r="P365" s="1">
        <v>1</v>
      </c>
      <c r="Q365" s="1"/>
      <c r="R365" s="74">
        <v>1</v>
      </c>
      <c r="S365" s="85"/>
      <c r="T365" s="84">
        <v>1</v>
      </c>
      <c r="U365" s="85"/>
      <c r="V365" s="10"/>
      <c r="W365" s="10"/>
      <c r="Y365" s="10"/>
      <c r="Z365" s="10"/>
      <c r="AA365" s="10"/>
      <c r="AB365" s="10"/>
      <c r="AC365" s="10"/>
      <c r="AD365" s="10"/>
      <c r="AE365" s="75"/>
      <c r="AF365" s="8"/>
      <c r="AG365" s="2">
        <f t="shared" si="24"/>
        <v>1</v>
      </c>
      <c r="AH365" s="78">
        <f t="shared" si="25"/>
        <v>2</v>
      </c>
    </row>
    <row r="366" spans="1:34" s="9" customFormat="1" x14ac:dyDescent="0.45">
      <c r="A366" s="16"/>
      <c r="B366" s="13"/>
      <c r="C366" s="16" t="s">
        <v>315</v>
      </c>
      <c r="D366" s="16"/>
      <c r="E366" s="13" t="str">
        <f>IF(ISBLANK(A366),"neu",IF(ISBLANK(C366),"weg",IF(A366&lt;&gt;C366,"geändert","")))</f>
        <v>neu</v>
      </c>
      <c r="F366" s="13"/>
      <c r="G366" s="13"/>
      <c r="H366" s="13" t="s">
        <v>14</v>
      </c>
      <c r="I366" s="7"/>
      <c r="J366" s="1"/>
      <c r="K366" s="1">
        <v>1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  <c r="Q366" s="1"/>
      <c r="R366" s="74">
        <v>1</v>
      </c>
      <c r="S366" s="85"/>
      <c r="T366" s="47"/>
      <c r="U366" s="69">
        <v>1</v>
      </c>
      <c r="V366" s="10"/>
      <c r="W366" s="10"/>
      <c r="Y366" s="10"/>
      <c r="Z366" s="10"/>
      <c r="AA366" s="10"/>
      <c r="AB366" s="10"/>
      <c r="AC366" s="10"/>
      <c r="AD366" s="10"/>
      <c r="AE366" s="75"/>
      <c r="AF366" s="8"/>
      <c r="AG366" s="2">
        <f t="shared" si="24"/>
        <v>1</v>
      </c>
      <c r="AH366" s="78">
        <f t="shared" si="25"/>
        <v>3</v>
      </c>
    </row>
    <row r="367" spans="1:34" s="9" customFormat="1" x14ac:dyDescent="0.45">
      <c r="A367" s="16"/>
      <c r="B367" s="13"/>
      <c r="C367" s="39" t="s">
        <v>714</v>
      </c>
      <c r="D367" s="16"/>
      <c r="E367" s="13" t="str">
        <f>IF(ISBLANK(A367),"neu",IF(ISBLANK(C367),"weg",IF(A367&lt;&gt;C367,"geändert","")))</f>
        <v>neu</v>
      </c>
      <c r="F367" s="13"/>
      <c r="G367" s="13"/>
      <c r="H367" s="47" t="s">
        <v>15</v>
      </c>
      <c r="I367" s="7"/>
      <c r="J367" s="1"/>
      <c r="K367" s="1"/>
      <c r="L367" s="1">
        <v>1</v>
      </c>
      <c r="M367" s="1">
        <v>1</v>
      </c>
      <c r="N367" s="1">
        <v>1</v>
      </c>
      <c r="O367" s="1">
        <v>1</v>
      </c>
      <c r="P367" s="1">
        <v>1</v>
      </c>
      <c r="Q367" s="1"/>
      <c r="R367" s="74">
        <v>1</v>
      </c>
      <c r="S367" s="85"/>
      <c r="T367" s="47"/>
      <c r="U367" s="69">
        <v>1</v>
      </c>
      <c r="V367" s="10"/>
      <c r="W367" s="10"/>
      <c r="Y367" s="10"/>
      <c r="Z367" s="10"/>
      <c r="AA367" s="10"/>
      <c r="AB367" s="10"/>
      <c r="AC367" s="10"/>
      <c r="AD367" s="10"/>
      <c r="AE367" s="75"/>
      <c r="AF367" s="8"/>
      <c r="AG367" s="2">
        <f t="shared" si="24"/>
        <v>1</v>
      </c>
      <c r="AH367" s="78">
        <f t="shared" si="25"/>
        <v>3</v>
      </c>
    </row>
    <row r="368" spans="1:34" s="9" customFormat="1" x14ac:dyDescent="0.45">
      <c r="A368" s="16"/>
      <c r="B368" s="13"/>
      <c r="C368" s="39" t="s">
        <v>715</v>
      </c>
      <c r="D368" s="16"/>
      <c r="E368" s="13" t="str">
        <f>IF(ISBLANK(A368),"neu",IF(ISBLANK(C368),"weg",IF(A368&lt;&gt;C368,"geändert","")))</f>
        <v>neu</v>
      </c>
      <c r="F368" s="13"/>
      <c r="G368" s="13"/>
      <c r="H368" s="47" t="s">
        <v>15</v>
      </c>
      <c r="I368" s="7"/>
      <c r="J368" s="1"/>
      <c r="K368" s="1"/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/>
      <c r="R368" s="74">
        <v>1</v>
      </c>
      <c r="S368" s="85"/>
      <c r="T368" s="47"/>
      <c r="U368" s="69">
        <v>1</v>
      </c>
      <c r="V368" s="10"/>
      <c r="W368" s="10"/>
      <c r="Y368" s="10"/>
      <c r="Z368" s="10"/>
      <c r="AA368" s="10"/>
      <c r="AB368" s="10"/>
      <c r="AC368" s="10"/>
      <c r="AD368" s="10"/>
      <c r="AE368" s="75"/>
      <c r="AF368" s="8"/>
      <c r="AG368" s="2">
        <f t="shared" si="24"/>
        <v>1</v>
      </c>
      <c r="AH368" s="78">
        <f t="shared" si="25"/>
        <v>3</v>
      </c>
    </row>
    <row r="369" spans="1:34" s="9" customFormat="1" x14ac:dyDescent="0.45">
      <c r="A369" s="16" t="s">
        <v>177</v>
      </c>
      <c r="B369" s="13"/>
      <c r="C369" s="16" t="s">
        <v>177</v>
      </c>
      <c r="D369" s="16"/>
      <c r="E369" s="13" t="str">
        <f>IF(ISBLANK(A369),"neu",IF(ISBLANK(C369),"weg",IF(A369&lt;&gt;C369,"geändert","")))</f>
        <v/>
      </c>
      <c r="F369" s="13"/>
      <c r="G369" s="13"/>
      <c r="H369" t="s">
        <v>13</v>
      </c>
      <c r="I369" s="7"/>
      <c r="J369" s="1"/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/>
      <c r="R369" s="74">
        <v>1</v>
      </c>
      <c r="S369" s="1"/>
      <c r="T369" s="1"/>
      <c r="U369" s="1"/>
      <c r="V369" s="1"/>
      <c r="W369" s="1"/>
      <c r="X369" s="1"/>
      <c r="Y369" s="1"/>
      <c r="Z369" s="1"/>
      <c r="AA369" s="83">
        <v>1</v>
      </c>
      <c r="AB369" s="10"/>
      <c r="AC369" s="10"/>
      <c r="AD369" s="10"/>
      <c r="AE369" s="75"/>
      <c r="AF369" s="8"/>
      <c r="AG369" s="2">
        <f t="shared" si="24"/>
        <v>1</v>
      </c>
      <c r="AH369" s="78">
        <f t="shared" si="25"/>
        <v>9</v>
      </c>
    </row>
    <row r="370" spans="1:34" s="9" customFormat="1" x14ac:dyDescent="0.45">
      <c r="A370" s="16" t="s">
        <v>178</v>
      </c>
      <c r="B370" s="13"/>
      <c r="C370" s="16" t="s">
        <v>178</v>
      </c>
      <c r="D370" s="16"/>
      <c r="E370" s="13" t="str">
        <f>IF(ISBLANK(A370),"neu",IF(ISBLANK(C370),"weg",IF(A370&lt;&gt;C370,"geändert","")))</f>
        <v/>
      </c>
      <c r="F370" s="13"/>
      <c r="G370" s="13"/>
      <c r="H370" t="s">
        <v>13</v>
      </c>
      <c r="I370" s="7"/>
      <c r="J370" s="1"/>
      <c r="K370" s="1">
        <v>1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/>
      <c r="R370" s="74">
        <v>1</v>
      </c>
      <c r="S370" s="1"/>
      <c r="T370" s="1"/>
      <c r="U370" s="1"/>
      <c r="V370" s="1"/>
      <c r="W370" s="1"/>
      <c r="X370" s="1"/>
      <c r="Y370" s="1"/>
      <c r="Z370" s="1"/>
      <c r="AA370" s="83">
        <v>1</v>
      </c>
      <c r="AB370" s="10"/>
      <c r="AC370" s="10"/>
      <c r="AD370" s="10"/>
      <c r="AE370" s="75"/>
      <c r="AF370" s="8"/>
      <c r="AG370" s="2">
        <f t="shared" si="24"/>
        <v>1</v>
      </c>
      <c r="AH370" s="78">
        <f t="shared" si="25"/>
        <v>9</v>
      </c>
    </row>
    <row r="371" spans="1:34" s="9" customFormat="1" x14ac:dyDescent="0.45">
      <c r="A371" s="16" t="s">
        <v>179</v>
      </c>
      <c r="B371" s="13"/>
      <c r="C371" s="16" t="s">
        <v>316</v>
      </c>
      <c r="D371" s="16"/>
      <c r="E371" s="13" t="str">
        <f>IF(ISBLANK(A371),"neu",IF(ISBLANK(C371),"weg",IF(A371&lt;&gt;C371,"geändert","")))</f>
        <v>geändert</v>
      </c>
      <c r="F371" s="13"/>
      <c r="G371" s="13"/>
      <c r="H371" t="s">
        <v>13</v>
      </c>
      <c r="I371" s="36" t="s">
        <v>53</v>
      </c>
      <c r="J371" s="1"/>
      <c r="K371" s="1">
        <v>1</v>
      </c>
      <c r="L371" s="1">
        <v>1</v>
      </c>
      <c r="M371" s="1"/>
      <c r="N371" s="1">
        <v>1</v>
      </c>
      <c r="O371" s="1">
        <v>1</v>
      </c>
      <c r="P371" s="1">
        <v>1</v>
      </c>
      <c r="Q371" s="1"/>
      <c r="R371" s="74">
        <v>1</v>
      </c>
      <c r="S371" s="83">
        <v>1</v>
      </c>
      <c r="T371" s="1"/>
      <c r="U371" s="1"/>
      <c r="V371" s="1"/>
      <c r="W371" s="1"/>
      <c r="X371" s="1"/>
      <c r="Y371" s="1"/>
      <c r="Z371" s="1"/>
      <c r="AA371" s="1"/>
      <c r="AB371" s="10"/>
      <c r="AC371" s="10"/>
      <c r="AD371" s="10"/>
      <c r="AE371" s="75"/>
      <c r="AF371" s="8"/>
      <c r="AG371" s="2">
        <f t="shared" si="24"/>
        <v>1</v>
      </c>
      <c r="AH371" s="78">
        <f t="shared" si="25"/>
        <v>1</v>
      </c>
    </row>
    <row r="372" spans="1:34" s="9" customFormat="1" x14ac:dyDescent="0.45">
      <c r="A372" s="16" t="s">
        <v>180</v>
      </c>
      <c r="B372" s="13"/>
      <c r="C372" s="16"/>
      <c r="D372" s="16"/>
      <c r="E372" s="13" t="str">
        <f>IF(ISBLANK(A372),"neu",IF(ISBLANK(C372),"weg",IF(A372&lt;&gt;C372,"geändert","")))</f>
        <v>weg</v>
      </c>
      <c r="F372" s="13"/>
      <c r="G372" s="13"/>
      <c r="H372"/>
      <c r="I372" s="7"/>
      <c r="J372" s="1"/>
      <c r="K372" s="1"/>
      <c r="L372" s="1"/>
      <c r="M372" s="1"/>
      <c r="N372" s="1"/>
      <c r="O372" s="1"/>
      <c r="P372" s="1"/>
      <c r="Q372" s="1"/>
      <c r="R372" s="74" t="s">
        <v>731</v>
      </c>
      <c r="S372" s="10"/>
      <c r="T372" s="10"/>
      <c r="U372" s="10"/>
      <c r="V372" s="10"/>
      <c r="W372" s="10"/>
      <c r="Y372" s="10"/>
      <c r="Z372" s="10"/>
      <c r="AA372" s="10"/>
      <c r="AB372" s="10"/>
      <c r="AC372" s="10"/>
      <c r="AD372" s="10"/>
      <c r="AE372" s="75"/>
      <c r="AF372" s="8"/>
      <c r="AG372" s="2" t="str">
        <f t="shared" si="24"/>
        <v/>
      </c>
      <c r="AH372" s="78" t="str">
        <f t="shared" si="25"/>
        <v/>
      </c>
    </row>
    <row r="373" spans="1:34" s="9" customFormat="1" x14ac:dyDescent="0.45">
      <c r="A373" s="16" t="s">
        <v>181</v>
      </c>
      <c r="B373" s="13"/>
      <c r="C373" s="16" t="s">
        <v>181</v>
      </c>
      <c r="D373" s="16"/>
      <c r="E373" s="13" t="str">
        <f>IF(ISBLANK(A373),"neu",IF(ISBLANK(C373),"weg",IF(A373&lt;&gt;C373,"geändert","")))</f>
        <v/>
      </c>
      <c r="F373" s="13"/>
      <c r="G373" s="13"/>
      <c r="H373" t="s">
        <v>13</v>
      </c>
      <c r="I373" s="7"/>
      <c r="J373" s="1"/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  <c r="Q373" s="1"/>
      <c r="R373" s="74">
        <v>1</v>
      </c>
      <c r="S373" s="1"/>
      <c r="T373" s="1"/>
      <c r="U373" s="1"/>
      <c r="V373" s="1"/>
      <c r="W373" s="1"/>
      <c r="X373" s="1"/>
      <c r="Y373" s="1"/>
      <c r="Z373" s="1"/>
      <c r="AA373" s="83">
        <v>1</v>
      </c>
      <c r="AB373" s="10"/>
      <c r="AC373" s="10"/>
      <c r="AD373" s="10"/>
      <c r="AE373" s="75"/>
      <c r="AF373" s="8"/>
      <c r="AG373" s="2">
        <f t="shared" si="24"/>
        <v>1</v>
      </c>
      <c r="AH373" s="78">
        <f t="shared" si="25"/>
        <v>9</v>
      </c>
    </row>
    <row r="374" spans="1:34" s="9" customFormat="1" x14ac:dyDescent="0.45">
      <c r="A374" s="16"/>
      <c r="B374" s="13"/>
      <c r="C374" s="39" t="s">
        <v>716</v>
      </c>
      <c r="D374" s="16"/>
      <c r="E374" s="13" t="str">
        <f>IF(ISBLANK(A374),"neu",IF(ISBLANK(C374),"weg",IF(A374&lt;&gt;C374,"geändert","")))</f>
        <v>neu</v>
      </c>
      <c r="F374" s="13"/>
      <c r="G374" s="13"/>
      <c r="H374" t="s">
        <v>15</v>
      </c>
      <c r="I374" s="7"/>
      <c r="J374" s="1"/>
      <c r="K374" s="1"/>
      <c r="L374" s="1">
        <v>1</v>
      </c>
      <c r="M374" s="1">
        <v>1</v>
      </c>
      <c r="N374" s="1">
        <v>1</v>
      </c>
      <c r="O374" s="1">
        <v>1</v>
      </c>
      <c r="P374" s="1">
        <v>1</v>
      </c>
      <c r="Q374" s="1"/>
      <c r="R374" s="74">
        <v>1</v>
      </c>
      <c r="S374" s="85"/>
      <c r="T374" s="85"/>
      <c r="U374" s="85"/>
      <c r="V374" s="85"/>
      <c r="W374" s="85"/>
      <c r="X374" s="85"/>
      <c r="Y374" s="85"/>
      <c r="Z374" s="85"/>
      <c r="AA374" s="84">
        <v>1</v>
      </c>
      <c r="AB374" s="10"/>
      <c r="AC374" s="10"/>
      <c r="AD374" s="10"/>
      <c r="AE374" s="75"/>
      <c r="AF374" s="8"/>
      <c r="AG374" s="2">
        <f t="shared" si="24"/>
        <v>1</v>
      </c>
      <c r="AH374" s="78">
        <f t="shared" si="25"/>
        <v>9</v>
      </c>
    </row>
    <row r="375" spans="1:34" s="9" customFormat="1" x14ac:dyDescent="0.45">
      <c r="A375" s="16"/>
      <c r="B375" s="13"/>
      <c r="C375" s="39" t="s">
        <v>717</v>
      </c>
      <c r="D375" s="16"/>
      <c r="E375" s="13" t="str">
        <f>IF(ISBLANK(A375),"neu",IF(ISBLANK(C375),"weg",IF(A375&lt;&gt;C375,"geändert","")))</f>
        <v>neu</v>
      </c>
      <c r="F375" s="13"/>
      <c r="G375" s="13"/>
      <c r="H375" t="s">
        <v>15</v>
      </c>
      <c r="I375" s="7"/>
      <c r="J375" s="1"/>
      <c r="K375" s="1"/>
      <c r="L375" s="1">
        <v>1</v>
      </c>
      <c r="M375" s="1">
        <v>1</v>
      </c>
      <c r="N375" s="1">
        <v>1</v>
      </c>
      <c r="O375" s="1">
        <v>1</v>
      </c>
      <c r="P375" s="1">
        <v>1</v>
      </c>
      <c r="Q375" s="1"/>
      <c r="R375" s="74">
        <v>1</v>
      </c>
      <c r="S375" s="85"/>
      <c r="T375" s="85"/>
      <c r="U375" s="47"/>
      <c r="V375" s="85"/>
      <c r="W375" s="85"/>
      <c r="X375" s="85"/>
      <c r="Y375" s="85"/>
      <c r="Z375" s="85"/>
      <c r="AA375" s="84">
        <v>1</v>
      </c>
      <c r="AB375" s="10"/>
      <c r="AC375" s="10"/>
      <c r="AD375" s="10"/>
      <c r="AE375" s="75"/>
      <c r="AF375" s="8"/>
      <c r="AG375" s="2">
        <f t="shared" si="24"/>
        <v>1</v>
      </c>
      <c r="AH375" s="78">
        <f t="shared" si="25"/>
        <v>9</v>
      </c>
    </row>
    <row r="376" spans="1:34" s="9" customFormat="1" x14ac:dyDescent="0.45">
      <c r="A376" s="16"/>
      <c r="B376" s="13"/>
      <c r="C376" s="16" t="s">
        <v>317</v>
      </c>
      <c r="D376" s="16"/>
      <c r="E376" s="13" t="str">
        <f>IF(ISBLANK(A376),"neu",IF(ISBLANK(C376),"weg",IF(A376&lt;&gt;C376,"geändert","")))</f>
        <v>neu</v>
      </c>
      <c r="F376" s="13"/>
      <c r="G376" s="13"/>
      <c r="H376" t="s">
        <v>14</v>
      </c>
      <c r="I376" s="7"/>
      <c r="J376" s="1"/>
      <c r="K376" s="1">
        <v>1</v>
      </c>
      <c r="L376" s="1">
        <v>1</v>
      </c>
      <c r="M376" s="1">
        <v>1</v>
      </c>
      <c r="N376" s="1">
        <v>1</v>
      </c>
      <c r="O376" s="1">
        <v>1</v>
      </c>
      <c r="P376" s="1">
        <v>1</v>
      </c>
      <c r="Q376" s="1"/>
      <c r="R376" s="74">
        <v>1</v>
      </c>
      <c r="S376" s="85"/>
      <c r="T376" s="85"/>
      <c r="U376" s="47"/>
      <c r="V376" s="85"/>
      <c r="W376" s="85"/>
      <c r="X376" s="85"/>
      <c r="Y376" s="85"/>
      <c r="Z376" s="85"/>
      <c r="AA376" s="69">
        <v>1</v>
      </c>
      <c r="AB376" s="10"/>
      <c r="AC376" s="10"/>
      <c r="AD376" s="10"/>
      <c r="AE376" s="75"/>
      <c r="AF376" s="8"/>
      <c r="AG376" s="2">
        <f t="shared" si="24"/>
        <v>1</v>
      </c>
      <c r="AH376" s="78">
        <f t="shared" si="25"/>
        <v>9</v>
      </c>
    </row>
    <row r="377" spans="1:34" s="9" customFormat="1" x14ac:dyDescent="0.45">
      <c r="A377" s="16"/>
      <c r="B377" s="13"/>
      <c r="C377" s="16" t="s">
        <v>318</v>
      </c>
      <c r="D377" s="16"/>
      <c r="E377" s="13" t="str">
        <f>IF(ISBLANK(A377),"neu",IF(ISBLANK(C377),"weg",IF(A377&lt;&gt;C377,"geändert","")))</f>
        <v>neu</v>
      </c>
      <c r="F377" s="13"/>
      <c r="G377" s="13"/>
      <c r="H377" t="s">
        <v>14</v>
      </c>
      <c r="I377" s="7"/>
      <c r="J377" s="1"/>
      <c r="K377" s="1">
        <v>1</v>
      </c>
      <c r="L377" s="1">
        <v>1</v>
      </c>
      <c r="M377" s="1">
        <v>1</v>
      </c>
      <c r="N377" s="1">
        <v>1</v>
      </c>
      <c r="O377" s="1">
        <v>1</v>
      </c>
      <c r="P377" s="1">
        <v>1</v>
      </c>
      <c r="Q377" s="1"/>
      <c r="R377" s="74">
        <v>1</v>
      </c>
      <c r="S377" s="85"/>
      <c r="T377" s="85"/>
      <c r="U377" s="47"/>
      <c r="V377" s="85"/>
      <c r="W377" s="85"/>
      <c r="X377" s="85"/>
      <c r="Y377" s="85"/>
      <c r="Z377" s="85"/>
      <c r="AA377" s="69">
        <v>1</v>
      </c>
      <c r="AB377" s="10"/>
      <c r="AC377" s="10"/>
      <c r="AD377" s="10"/>
      <c r="AE377" s="75"/>
      <c r="AF377" s="8"/>
      <c r="AG377" s="2">
        <f t="shared" si="24"/>
        <v>1</v>
      </c>
      <c r="AH377" s="78">
        <f t="shared" si="25"/>
        <v>9</v>
      </c>
    </row>
    <row r="378" spans="1:34" s="9" customFormat="1" x14ac:dyDescent="0.45">
      <c r="A378" s="16" t="s">
        <v>182</v>
      </c>
      <c r="B378" s="13"/>
      <c r="C378" s="16" t="s">
        <v>319</v>
      </c>
      <c r="D378" s="16"/>
      <c r="E378" s="13" t="str">
        <f>IF(ISBLANK(A378),"neu",IF(ISBLANK(C378),"weg",IF(A378&lt;&gt;C378,"geändert","")))</f>
        <v>geändert</v>
      </c>
      <c r="F378" s="13"/>
      <c r="G378" s="13"/>
      <c r="H378" t="s">
        <v>13</v>
      </c>
      <c r="I378" s="36" t="s">
        <v>53</v>
      </c>
      <c r="J378" s="1"/>
      <c r="K378" s="1">
        <v>1</v>
      </c>
      <c r="L378" s="1"/>
      <c r="M378" s="1"/>
      <c r="N378" s="1"/>
      <c r="O378" s="1"/>
      <c r="P378" s="1"/>
      <c r="Q378" s="1"/>
      <c r="R378" s="74">
        <v>1</v>
      </c>
      <c r="S378" s="86">
        <v>1</v>
      </c>
      <c r="T378" s="10"/>
      <c r="U378" s="10"/>
      <c r="V378" s="10"/>
      <c r="W378" s="10"/>
      <c r="Y378" s="10"/>
      <c r="Z378" s="10"/>
      <c r="AA378" s="10"/>
      <c r="AB378" s="10"/>
      <c r="AC378" s="10"/>
      <c r="AD378" s="10"/>
      <c r="AE378" s="75"/>
      <c r="AF378" s="8"/>
      <c r="AG378" s="2">
        <f t="shared" si="24"/>
        <v>1</v>
      </c>
      <c r="AH378" s="78">
        <f t="shared" si="25"/>
        <v>1</v>
      </c>
    </row>
    <row r="379" spans="1:34" s="9" customFormat="1" x14ac:dyDescent="0.45">
      <c r="A379" s="16" t="s">
        <v>183</v>
      </c>
      <c r="B379" s="13"/>
      <c r="C379" s="16"/>
      <c r="D379" s="16"/>
      <c r="E379" s="13" t="str">
        <f>IF(ISBLANK(A379),"neu",IF(ISBLANK(C379),"weg",IF(A379&lt;&gt;C379,"geändert","")))</f>
        <v>weg</v>
      </c>
      <c r="F379" s="13"/>
      <c r="G379" s="13"/>
      <c r="H379"/>
      <c r="I379" s="7"/>
      <c r="J379" s="1"/>
      <c r="K379" s="1"/>
      <c r="L379" s="1"/>
      <c r="M379" s="1"/>
      <c r="N379" s="1"/>
      <c r="O379" s="1"/>
      <c r="P379" s="1"/>
      <c r="Q379" s="1"/>
      <c r="R379" s="74" t="s">
        <v>731</v>
      </c>
      <c r="S379" s="10"/>
      <c r="T379" s="10"/>
      <c r="U379" s="10"/>
      <c r="V379" s="10"/>
      <c r="W379" s="10"/>
      <c r="Y379" s="10"/>
      <c r="Z379" s="10"/>
      <c r="AA379" s="10"/>
      <c r="AB379" s="10"/>
      <c r="AC379" s="10"/>
      <c r="AD379" s="10"/>
      <c r="AE379" s="75"/>
      <c r="AF379" s="8"/>
      <c r="AG379" s="2" t="str">
        <f t="shared" si="24"/>
        <v/>
      </c>
      <c r="AH379" s="78" t="str">
        <f t="shared" si="25"/>
        <v/>
      </c>
    </row>
    <row r="380" spans="1:34" s="9" customFormat="1" x14ac:dyDescent="0.45">
      <c r="A380" s="39" t="s">
        <v>718</v>
      </c>
      <c r="B380" s="13"/>
      <c r="C380" s="39" t="s">
        <v>718</v>
      </c>
      <c r="D380" s="16"/>
      <c r="E380" s="13" t="str">
        <f>IF(ISBLANK(A380),"neu",IF(ISBLANK(C380),"weg",IF(A380&lt;&gt;C380,"geändert","")))</f>
        <v/>
      </c>
      <c r="F380" s="13"/>
      <c r="G380" s="13"/>
      <c r="H380" t="s">
        <v>15</v>
      </c>
      <c r="I380" s="7"/>
      <c r="J380" s="1"/>
      <c r="K380" s="1">
        <v>1</v>
      </c>
      <c r="L380" s="1"/>
      <c r="M380" s="1">
        <v>1</v>
      </c>
      <c r="N380" s="1"/>
      <c r="O380" s="1"/>
      <c r="P380" s="1"/>
      <c r="Q380" s="1"/>
      <c r="R380" s="74">
        <v>1</v>
      </c>
      <c r="S380" s="85"/>
      <c r="T380" s="85"/>
      <c r="U380" s="85"/>
      <c r="V380" s="85"/>
      <c r="W380" s="85"/>
      <c r="X380" s="84">
        <v>1</v>
      </c>
      <c r="Y380" s="10"/>
      <c r="Z380" s="10"/>
      <c r="AA380" s="10"/>
      <c r="AB380" s="10"/>
      <c r="AC380" s="10"/>
      <c r="AD380" s="10"/>
      <c r="AE380" s="75"/>
      <c r="AF380" s="8"/>
      <c r="AG380" s="2">
        <f t="shared" si="24"/>
        <v>1</v>
      </c>
      <c r="AH380" s="78">
        <f t="shared" si="25"/>
        <v>6</v>
      </c>
    </row>
    <row r="381" spans="1:34" s="9" customFormat="1" x14ac:dyDescent="0.45">
      <c r="A381" s="39" t="s">
        <v>719</v>
      </c>
      <c r="B381" s="13"/>
      <c r="C381" s="39" t="s">
        <v>719</v>
      </c>
      <c r="D381" s="16"/>
      <c r="E381" s="13" t="str">
        <f>IF(ISBLANK(A381),"neu",IF(ISBLANK(C381),"weg",IF(A381&lt;&gt;C381,"geändert","")))</f>
        <v/>
      </c>
      <c r="F381" s="13"/>
      <c r="G381" s="13"/>
      <c r="H381" t="s">
        <v>15</v>
      </c>
      <c r="I381" s="7"/>
      <c r="J381" s="1"/>
      <c r="K381" s="1">
        <v>1</v>
      </c>
      <c r="L381" s="1"/>
      <c r="M381" s="1">
        <v>1</v>
      </c>
      <c r="N381" s="1"/>
      <c r="O381" s="1"/>
      <c r="P381" s="1"/>
      <c r="Q381" s="1"/>
      <c r="R381" s="74">
        <v>1</v>
      </c>
      <c r="S381" s="85"/>
      <c r="T381" s="85"/>
      <c r="U381" s="85"/>
      <c r="V381" s="85"/>
      <c r="W381" s="85"/>
      <c r="X381" s="84">
        <v>1</v>
      </c>
      <c r="Y381" s="10"/>
      <c r="Z381" s="10"/>
      <c r="AA381" s="10"/>
      <c r="AB381" s="10"/>
      <c r="AC381" s="10"/>
      <c r="AD381" s="10"/>
      <c r="AE381" s="75"/>
      <c r="AF381" s="8"/>
      <c r="AG381" s="2">
        <f t="shared" si="24"/>
        <v>1</v>
      </c>
      <c r="AH381" s="78">
        <f t="shared" si="25"/>
        <v>6</v>
      </c>
    </row>
    <row r="382" spans="1:34" s="9" customFormat="1" x14ac:dyDescent="0.45">
      <c r="A382" s="39" t="s">
        <v>720</v>
      </c>
      <c r="B382" s="13"/>
      <c r="C382" s="39" t="s">
        <v>720</v>
      </c>
      <c r="D382" s="16"/>
      <c r="E382" s="13" t="str">
        <f>IF(ISBLANK(A382),"neu",IF(ISBLANK(C382),"weg",IF(A382&lt;&gt;C382,"geändert","")))</f>
        <v/>
      </c>
      <c r="F382" s="13"/>
      <c r="G382" s="13"/>
      <c r="H382" t="s">
        <v>15</v>
      </c>
      <c r="I382" s="7"/>
      <c r="J382" s="1"/>
      <c r="K382" s="1">
        <v>1</v>
      </c>
      <c r="L382" s="1"/>
      <c r="M382" s="1">
        <v>1</v>
      </c>
      <c r="N382" s="1"/>
      <c r="O382" s="1"/>
      <c r="P382" s="1"/>
      <c r="Q382" s="1"/>
      <c r="R382" s="74">
        <v>1</v>
      </c>
      <c r="S382" s="85"/>
      <c r="T382" s="85"/>
      <c r="U382" s="85"/>
      <c r="V382" s="85"/>
      <c r="W382" s="85"/>
      <c r="X382" s="84">
        <v>1</v>
      </c>
      <c r="Y382" s="10"/>
      <c r="Z382" s="10"/>
      <c r="AA382" s="10"/>
      <c r="AB382" s="10"/>
      <c r="AC382" s="10"/>
      <c r="AD382" s="10"/>
      <c r="AE382" s="75"/>
      <c r="AF382" s="8"/>
      <c r="AG382" s="2">
        <f t="shared" si="24"/>
        <v>1</v>
      </c>
      <c r="AH382" s="78">
        <f t="shared" si="25"/>
        <v>6</v>
      </c>
    </row>
    <row r="383" spans="1:34" s="9" customFormat="1" x14ac:dyDescent="0.45">
      <c r="A383" s="39" t="s">
        <v>721</v>
      </c>
      <c r="B383" s="13"/>
      <c r="C383" s="39" t="s">
        <v>721</v>
      </c>
      <c r="D383" s="16"/>
      <c r="E383" s="13" t="str">
        <f>IF(ISBLANK(A383),"neu",IF(ISBLANK(C383),"weg",IF(A383&lt;&gt;C383,"geändert","")))</f>
        <v/>
      </c>
      <c r="F383" s="13"/>
      <c r="G383" s="13"/>
      <c r="H383" t="s">
        <v>15</v>
      </c>
      <c r="I383" s="7"/>
      <c r="J383" s="1"/>
      <c r="K383" s="1">
        <v>1</v>
      </c>
      <c r="L383" s="1"/>
      <c r="M383" s="1">
        <v>1</v>
      </c>
      <c r="N383" s="1"/>
      <c r="O383" s="1"/>
      <c r="P383" s="1"/>
      <c r="Q383" s="1"/>
      <c r="R383" s="74">
        <v>1</v>
      </c>
      <c r="S383" s="85"/>
      <c r="T383" s="85"/>
      <c r="U383" s="85"/>
      <c r="V383" s="85"/>
      <c r="W383" s="85"/>
      <c r="X383" s="84">
        <v>1</v>
      </c>
      <c r="Y383" s="10"/>
      <c r="Z383" s="10"/>
      <c r="AA383" s="10"/>
      <c r="AB383" s="10"/>
      <c r="AC383" s="10"/>
      <c r="AD383" s="10"/>
      <c r="AE383" s="75"/>
      <c r="AF383" s="8"/>
      <c r="AG383" s="2">
        <f t="shared" si="24"/>
        <v>1</v>
      </c>
      <c r="AH383" s="78">
        <f t="shared" si="25"/>
        <v>6</v>
      </c>
    </row>
    <row r="384" spans="1:34" s="9" customFormat="1" x14ac:dyDescent="0.45">
      <c r="A384" s="16" t="s">
        <v>184</v>
      </c>
      <c r="B384" s="13"/>
      <c r="C384" s="16" t="s">
        <v>184</v>
      </c>
      <c r="D384" s="16"/>
      <c r="E384" s="13" t="str">
        <f>IF(ISBLANK(A384),"neu",IF(ISBLANK(C384),"weg",IF(A384&lt;&gt;C384,"geändert","")))</f>
        <v/>
      </c>
      <c r="F384" s="13"/>
      <c r="G384" s="13"/>
      <c r="H384" t="s">
        <v>13</v>
      </c>
      <c r="I384" s="7"/>
      <c r="J384" s="1"/>
      <c r="K384" s="1">
        <v>1</v>
      </c>
      <c r="L384" s="1"/>
      <c r="M384" s="1">
        <v>1</v>
      </c>
      <c r="N384" s="1"/>
      <c r="O384" s="1"/>
      <c r="P384" s="1"/>
      <c r="Q384" s="1"/>
      <c r="R384" s="74">
        <v>1</v>
      </c>
      <c r="S384" s="1"/>
      <c r="T384" s="1"/>
      <c r="U384" s="83">
        <v>1</v>
      </c>
      <c r="V384" s="10"/>
      <c r="W384" s="10"/>
      <c r="Y384" s="10"/>
      <c r="Z384" s="10"/>
      <c r="AA384" s="10"/>
      <c r="AB384" s="10"/>
      <c r="AC384" s="10"/>
      <c r="AD384" s="10"/>
      <c r="AE384" s="75"/>
      <c r="AF384" s="8"/>
      <c r="AG384" s="2">
        <f t="shared" si="24"/>
        <v>1</v>
      </c>
      <c r="AH384" s="78">
        <f t="shared" si="25"/>
        <v>3</v>
      </c>
    </row>
    <row r="385" spans="1:34" s="9" customFormat="1" x14ac:dyDescent="0.45">
      <c r="A385" s="16" t="s">
        <v>185</v>
      </c>
      <c r="B385" s="13"/>
      <c r="C385" s="16" t="s">
        <v>185</v>
      </c>
      <c r="D385" s="16"/>
      <c r="E385" s="13" t="str">
        <f>IF(ISBLANK(A385),"neu",IF(ISBLANK(C385),"weg",IF(A385&lt;&gt;C385,"geändert","")))</f>
        <v/>
      </c>
      <c r="F385" s="13"/>
      <c r="G385" s="13"/>
      <c r="H385" t="s">
        <v>13</v>
      </c>
      <c r="I385" s="7"/>
      <c r="J385" s="1"/>
      <c r="K385" s="1">
        <v>1</v>
      </c>
      <c r="L385" s="1"/>
      <c r="M385" s="1">
        <v>1</v>
      </c>
      <c r="N385" s="1"/>
      <c r="O385" s="1"/>
      <c r="P385" s="1"/>
      <c r="Q385" s="1"/>
      <c r="R385" s="74">
        <v>1</v>
      </c>
      <c r="S385" s="1"/>
      <c r="T385" s="1"/>
      <c r="U385" s="83">
        <v>1</v>
      </c>
      <c r="V385" s="10"/>
      <c r="W385" s="10"/>
      <c r="Y385" s="10"/>
      <c r="Z385" s="10"/>
      <c r="AA385" s="10"/>
      <c r="AB385" s="10"/>
      <c r="AC385" s="10"/>
      <c r="AD385" s="10"/>
      <c r="AE385" s="75"/>
      <c r="AF385" s="8"/>
      <c r="AG385" s="2">
        <f t="shared" si="24"/>
        <v>1</v>
      </c>
      <c r="AH385" s="78">
        <f t="shared" si="25"/>
        <v>3</v>
      </c>
    </row>
    <row r="386" spans="1:34" s="9" customFormat="1" x14ac:dyDescent="0.45">
      <c r="A386" s="16" t="s">
        <v>366</v>
      </c>
      <c r="B386" s="13"/>
      <c r="C386" s="16" t="s">
        <v>320</v>
      </c>
      <c r="D386" s="16"/>
      <c r="E386" s="13" t="str">
        <f>IF(ISBLANK(A386),"neu",IF(ISBLANK(C386),"weg",IF(A386&lt;&gt;C386,"geändert","")))</f>
        <v>geändert</v>
      </c>
      <c r="F386" s="13"/>
      <c r="G386" s="13"/>
      <c r="H386" t="s">
        <v>14</v>
      </c>
      <c r="I386" s="7"/>
      <c r="J386" s="1"/>
      <c r="K386" s="1">
        <v>1</v>
      </c>
      <c r="L386" s="1">
        <v>1</v>
      </c>
      <c r="M386" s="1">
        <v>1</v>
      </c>
      <c r="N386" s="1"/>
      <c r="O386" s="1"/>
      <c r="P386" s="1"/>
      <c r="Q386" s="1"/>
      <c r="R386" s="74">
        <v>1</v>
      </c>
      <c r="S386" s="1"/>
      <c r="T386" s="83">
        <v>1</v>
      </c>
      <c r="U386" s="10"/>
      <c r="V386" s="10"/>
      <c r="W386" s="10"/>
      <c r="Y386" s="10"/>
      <c r="Z386" s="10"/>
      <c r="AA386" s="10"/>
      <c r="AB386" s="10"/>
      <c r="AC386" s="10"/>
      <c r="AD386" s="10"/>
      <c r="AE386" s="75"/>
      <c r="AF386" s="8"/>
      <c r="AG386" s="2">
        <f t="shared" si="24"/>
        <v>1</v>
      </c>
      <c r="AH386" s="78">
        <f t="shared" si="25"/>
        <v>2</v>
      </c>
    </row>
    <row r="387" spans="1:34" s="9" customFormat="1" x14ac:dyDescent="0.45">
      <c r="A387" s="39" t="s">
        <v>722</v>
      </c>
      <c r="B387" s="13"/>
      <c r="C387" s="39" t="s">
        <v>722</v>
      </c>
      <c r="D387" s="16"/>
      <c r="E387" s="13" t="str">
        <f>IF(ISBLANK(A387),"neu",IF(ISBLANK(C387),"weg",IF(A387&lt;&gt;C387,"geändert","")))</f>
        <v/>
      </c>
      <c r="F387" s="13"/>
      <c r="G387" s="13"/>
      <c r="H387" t="s">
        <v>15</v>
      </c>
      <c r="I387" s="7"/>
      <c r="J387" s="1"/>
      <c r="K387" s="1">
        <v>1</v>
      </c>
      <c r="L387" s="1"/>
      <c r="M387" s="1">
        <v>1</v>
      </c>
      <c r="N387" s="1"/>
      <c r="O387" s="1"/>
      <c r="P387" s="1"/>
      <c r="Q387" s="1"/>
      <c r="R387" s="74">
        <v>1</v>
      </c>
      <c r="S387" s="85"/>
      <c r="T387" s="85"/>
      <c r="U387" s="84">
        <v>1</v>
      </c>
      <c r="V387" s="10"/>
      <c r="W387" s="10"/>
      <c r="Y387" s="10"/>
      <c r="Z387" s="10"/>
      <c r="AA387" s="10"/>
      <c r="AB387" s="10"/>
      <c r="AC387" s="10"/>
      <c r="AD387" s="10"/>
      <c r="AE387" s="75"/>
      <c r="AF387" s="8"/>
      <c r="AG387" s="2">
        <f t="shared" si="24"/>
        <v>1</v>
      </c>
      <c r="AH387" s="78">
        <f t="shared" si="25"/>
        <v>3</v>
      </c>
    </row>
    <row r="388" spans="1:34" s="9" customFormat="1" x14ac:dyDescent="0.45">
      <c r="A388" s="16"/>
      <c r="B388" s="13"/>
      <c r="C388" s="20" t="s">
        <v>723</v>
      </c>
      <c r="D388" s="16"/>
      <c r="E388" s="13" t="str">
        <f>IF(ISBLANK(A388),"neu",IF(ISBLANK(C388),"weg",IF(A388&lt;&gt;C388,"geändert","")))</f>
        <v>neu</v>
      </c>
      <c r="F388" s="13"/>
      <c r="G388" s="13"/>
      <c r="H388" s="90" t="s">
        <v>13</v>
      </c>
      <c r="I388" s="7"/>
      <c r="J388" s="1"/>
      <c r="K388" s="1">
        <v>1</v>
      </c>
      <c r="L388" s="1"/>
      <c r="M388" s="1">
        <v>1</v>
      </c>
      <c r="N388" s="1"/>
      <c r="O388" s="1"/>
      <c r="P388" s="1"/>
      <c r="Q388" s="1"/>
      <c r="R388" s="74">
        <v>1</v>
      </c>
      <c r="S388" s="85"/>
      <c r="T388" s="83">
        <v>1</v>
      </c>
      <c r="U388" s="85"/>
      <c r="V388" s="10"/>
      <c r="W388" s="10"/>
      <c r="Y388" s="10"/>
      <c r="Z388" s="10"/>
      <c r="AA388" s="10"/>
      <c r="AB388" s="10"/>
      <c r="AC388" s="10"/>
      <c r="AD388" s="10"/>
      <c r="AE388" s="75"/>
      <c r="AF388" s="8"/>
      <c r="AG388" s="2">
        <f t="shared" si="24"/>
        <v>1</v>
      </c>
      <c r="AH388" s="78">
        <f t="shared" si="25"/>
        <v>2</v>
      </c>
    </row>
    <row r="389" spans="1:34" s="9" customFormat="1" x14ac:dyDescent="0.45">
      <c r="A389" s="16" t="s">
        <v>186</v>
      </c>
      <c r="B389" s="13"/>
      <c r="C389" s="16" t="s">
        <v>321</v>
      </c>
      <c r="D389" s="16"/>
      <c r="E389" s="13" t="str">
        <f>IF(ISBLANK(A389),"neu",IF(ISBLANK(C389),"weg",IF(A389&lt;&gt;C389,"geändert","")))</f>
        <v>geändert</v>
      </c>
      <c r="F389" s="13"/>
      <c r="G389" s="13"/>
      <c r="H389" s="90" t="s">
        <v>13</v>
      </c>
      <c r="I389" s="36" t="s">
        <v>53</v>
      </c>
      <c r="J389" s="1"/>
      <c r="K389" s="1">
        <v>1</v>
      </c>
      <c r="L389" s="1"/>
      <c r="M389" s="1"/>
      <c r="N389" s="1"/>
      <c r="O389" s="1"/>
      <c r="P389" s="1"/>
      <c r="Q389" s="1"/>
      <c r="R389" s="74">
        <v>1</v>
      </c>
      <c r="S389" s="85"/>
      <c r="T389" s="83">
        <v>1</v>
      </c>
      <c r="U389" s="10"/>
      <c r="V389" s="10"/>
      <c r="W389" s="10"/>
      <c r="Y389" s="10"/>
      <c r="Z389" s="10"/>
      <c r="AA389" s="10"/>
      <c r="AB389" s="10"/>
      <c r="AC389" s="10"/>
      <c r="AD389" s="10"/>
      <c r="AE389" s="75"/>
      <c r="AF389" s="8"/>
      <c r="AG389" s="2">
        <f t="shared" si="24"/>
        <v>1</v>
      </c>
      <c r="AH389" s="78">
        <f t="shared" si="25"/>
        <v>2</v>
      </c>
    </row>
    <row r="390" spans="1:34" s="9" customFormat="1" x14ac:dyDescent="0.45">
      <c r="A390" s="16" t="s">
        <v>187</v>
      </c>
      <c r="B390" s="13"/>
      <c r="C390" s="16"/>
      <c r="D390" s="16"/>
      <c r="E390" s="13" t="str">
        <f>IF(ISBLANK(A390),"neu",IF(ISBLANK(C390),"weg",IF(A390&lt;&gt;C390,"geändert","")))</f>
        <v>weg</v>
      </c>
      <c r="F390" s="13"/>
      <c r="G390" s="13"/>
      <c r="H390"/>
      <c r="I390" s="7"/>
      <c r="J390" s="1"/>
      <c r="K390" s="1"/>
      <c r="L390" s="1"/>
      <c r="M390" s="1"/>
      <c r="N390" s="1"/>
      <c r="O390" s="1"/>
      <c r="P390" s="1"/>
      <c r="Q390" s="1"/>
      <c r="R390" s="74" t="s">
        <v>731</v>
      </c>
      <c r="S390" s="10"/>
      <c r="T390" s="10"/>
      <c r="U390" s="10"/>
      <c r="V390" s="10"/>
      <c r="W390" s="10"/>
      <c r="Y390" s="10"/>
      <c r="Z390" s="10"/>
      <c r="AA390" s="10"/>
      <c r="AB390" s="10"/>
      <c r="AC390" s="10"/>
      <c r="AD390" s="10"/>
      <c r="AE390" s="75"/>
      <c r="AF390" s="8"/>
      <c r="AG390" s="2" t="str">
        <f t="shared" si="24"/>
        <v/>
      </c>
      <c r="AH390" s="78" t="str">
        <f t="shared" si="25"/>
        <v/>
      </c>
    </row>
    <row r="391" spans="1:34" s="9" customFormat="1" x14ac:dyDescent="0.45">
      <c r="A391" s="16" t="s">
        <v>188</v>
      </c>
      <c r="B391" s="13"/>
      <c r="C391" s="16" t="s">
        <v>188</v>
      </c>
      <c r="D391" s="16"/>
      <c r="E391" s="13" t="str">
        <f>IF(ISBLANK(A391),"neu",IF(ISBLANK(C391),"weg",IF(A391&lt;&gt;C391,"geändert","")))</f>
        <v/>
      </c>
      <c r="F391" s="13"/>
      <c r="G391" s="13"/>
      <c r="H391" t="s">
        <v>13</v>
      </c>
      <c r="I391" s="7"/>
      <c r="J391" s="1"/>
      <c r="K391" s="1">
        <v>1</v>
      </c>
      <c r="L391" s="1"/>
      <c r="M391" s="1">
        <v>1</v>
      </c>
      <c r="N391" s="1"/>
      <c r="O391" s="1"/>
      <c r="P391" s="1"/>
      <c r="Q391" s="1"/>
      <c r="R391" s="74">
        <v>1</v>
      </c>
      <c r="S391" s="1"/>
      <c r="T391" s="1"/>
      <c r="U391" s="1"/>
      <c r="V391" s="1"/>
      <c r="W391" s="1"/>
      <c r="X391" s="1"/>
      <c r="Y391" s="1"/>
      <c r="Z391" s="83">
        <v>1</v>
      </c>
      <c r="AA391" s="10"/>
      <c r="AB391" s="10"/>
      <c r="AC391" s="10"/>
      <c r="AD391" s="10"/>
      <c r="AE391" s="75"/>
      <c r="AF391" s="8"/>
      <c r="AG391" s="2">
        <f t="shared" si="24"/>
        <v>1</v>
      </c>
      <c r="AH391" s="78">
        <f t="shared" si="25"/>
        <v>8</v>
      </c>
    </row>
    <row r="392" spans="1:34" s="9" customFormat="1" x14ac:dyDescent="0.45">
      <c r="A392" s="16" t="s">
        <v>189</v>
      </c>
      <c r="B392" s="13"/>
      <c r="C392" s="16" t="s">
        <v>189</v>
      </c>
      <c r="D392" s="16"/>
      <c r="E392" s="13" t="str">
        <f>IF(ISBLANK(A392),"neu",IF(ISBLANK(C392),"weg",IF(A392&lt;&gt;C392,"geändert","")))</f>
        <v/>
      </c>
      <c r="F392" s="13"/>
      <c r="G392" s="13"/>
      <c r="H392" t="s">
        <v>14</v>
      </c>
      <c r="I392" s="7"/>
      <c r="J392" s="1"/>
      <c r="K392" s="1">
        <v>1</v>
      </c>
      <c r="L392" s="1"/>
      <c r="M392" s="1">
        <v>1</v>
      </c>
      <c r="N392" s="1"/>
      <c r="O392" s="1"/>
      <c r="P392" s="1"/>
      <c r="Q392" s="1"/>
      <c r="R392" s="74">
        <v>1</v>
      </c>
      <c r="S392" s="1"/>
      <c r="T392" s="1"/>
      <c r="U392" s="1"/>
      <c r="V392" s="1"/>
      <c r="W392" s="1"/>
      <c r="X392" s="1"/>
      <c r="Y392" s="1"/>
      <c r="Z392" s="83">
        <v>1</v>
      </c>
      <c r="AA392" s="10"/>
      <c r="AB392" s="10"/>
      <c r="AC392" s="10"/>
      <c r="AD392" s="10"/>
      <c r="AE392" s="75"/>
      <c r="AF392" s="8"/>
      <c r="AG392" s="2">
        <f t="shared" si="24"/>
        <v>1</v>
      </c>
      <c r="AH392" s="78">
        <f t="shared" si="25"/>
        <v>8</v>
      </c>
    </row>
    <row r="393" spans="1:34" s="9" customFormat="1" x14ac:dyDescent="0.45">
      <c r="A393" s="16" t="s">
        <v>190</v>
      </c>
      <c r="B393" s="13"/>
      <c r="C393" s="16" t="s">
        <v>190</v>
      </c>
      <c r="D393" s="16"/>
      <c r="E393" s="13" t="str">
        <f>IF(ISBLANK(A393),"neu",IF(ISBLANK(C393),"weg",IF(A393&lt;&gt;C393,"geändert","")))</f>
        <v/>
      </c>
      <c r="F393" s="13"/>
      <c r="G393" s="13"/>
      <c r="H393" t="s">
        <v>14</v>
      </c>
      <c r="I393" s="7"/>
      <c r="J393" s="1"/>
      <c r="K393" s="1">
        <v>1</v>
      </c>
      <c r="L393" s="1">
        <v>1</v>
      </c>
      <c r="M393" s="1">
        <v>1</v>
      </c>
      <c r="N393" s="1">
        <v>1</v>
      </c>
      <c r="O393" s="1">
        <v>1</v>
      </c>
      <c r="P393" s="1">
        <v>1</v>
      </c>
      <c r="Q393" s="1"/>
      <c r="R393" s="74">
        <v>1</v>
      </c>
      <c r="S393" s="1"/>
      <c r="T393" s="1"/>
      <c r="U393" s="1"/>
      <c r="V393" s="1"/>
      <c r="W393" s="1"/>
      <c r="X393" s="1"/>
      <c r="Y393" s="1"/>
      <c r="Z393" s="83">
        <v>1</v>
      </c>
      <c r="AA393" s="10"/>
      <c r="AB393" s="10"/>
      <c r="AC393" s="10"/>
      <c r="AD393" s="10"/>
      <c r="AE393" s="75"/>
      <c r="AF393" s="8"/>
      <c r="AG393" s="2">
        <f t="shared" si="24"/>
        <v>1</v>
      </c>
      <c r="AH393" s="78">
        <f t="shared" si="25"/>
        <v>8</v>
      </c>
    </row>
    <row r="394" spans="1:34" s="9" customFormat="1" x14ac:dyDescent="0.45">
      <c r="A394" s="39" t="s">
        <v>724</v>
      </c>
      <c r="B394" s="13"/>
      <c r="C394" s="39" t="s">
        <v>724</v>
      </c>
      <c r="D394" s="16"/>
      <c r="E394" s="13" t="str">
        <f>IF(ISBLANK(A394),"neu",IF(ISBLANK(C394),"weg",IF(A394&lt;&gt;C394,"geändert","")))</f>
        <v/>
      </c>
      <c r="F394" s="13"/>
      <c r="G394" s="13"/>
      <c r="H394" t="s">
        <v>15</v>
      </c>
      <c r="I394" s="7"/>
      <c r="J394" s="1"/>
      <c r="K394" s="1">
        <v>1</v>
      </c>
      <c r="L394" s="1"/>
      <c r="M394" s="1">
        <v>1</v>
      </c>
      <c r="N394" s="1"/>
      <c r="O394" s="1"/>
      <c r="P394" s="1"/>
      <c r="Q394" s="1"/>
      <c r="R394" s="74">
        <v>1</v>
      </c>
      <c r="S394" s="85"/>
      <c r="T394" s="85"/>
      <c r="U394" s="85"/>
      <c r="V394" s="85"/>
      <c r="W394" s="85"/>
      <c r="X394" s="85"/>
      <c r="Y394" s="85"/>
      <c r="Z394" s="84">
        <v>1</v>
      </c>
      <c r="AA394" s="10"/>
      <c r="AB394" s="10"/>
      <c r="AC394" s="10"/>
      <c r="AD394" s="10"/>
      <c r="AE394" s="75"/>
      <c r="AF394" s="8"/>
      <c r="AG394" s="2">
        <f t="shared" si="24"/>
        <v>1</v>
      </c>
      <c r="AH394" s="78">
        <f t="shared" si="25"/>
        <v>8</v>
      </c>
    </row>
    <row r="395" spans="1:34" s="9" customFormat="1" x14ac:dyDescent="0.45">
      <c r="A395" s="39" t="s">
        <v>725</v>
      </c>
      <c r="B395" s="13"/>
      <c r="C395" s="39" t="s">
        <v>725</v>
      </c>
      <c r="D395" s="16"/>
      <c r="E395" s="13" t="str">
        <f>IF(ISBLANK(A395),"neu",IF(ISBLANK(C395),"weg",IF(A395&lt;&gt;C395,"geändert","")))</f>
        <v/>
      </c>
      <c r="F395" s="13"/>
      <c r="G395" s="13"/>
      <c r="H395" t="s">
        <v>15</v>
      </c>
      <c r="I395" s="7"/>
      <c r="J395" s="1"/>
      <c r="K395" s="1">
        <v>1</v>
      </c>
      <c r="L395" s="1">
        <v>1</v>
      </c>
      <c r="M395" s="1">
        <v>1</v>
      </c>
      <c r="N395" s="1">
        <v>1</v>
      </c>
      <c r="O395" s="1">
        <v>1</v>
      </c>
      <c r="P395" s="1">
        <v>1</v>
      </c>
      <c r="Q395" s="1"/>
      <c r="R395" s="74">
        <v>1</v>
      </c>
      <c r="S395" s="85"/>
      <c r="T395" s="85"/>
      <c r="U395" s="85"/>
      <c r="V395" s="85"/>
      <c r="W395" s="85"/>
      <c r="X395" s="85"/>
      <c r="Y395" s="85"/>
      <c r="Z395" s="84">
        <v>1</v>
      </c>
      <c r="AA395" s="10"/>
      <c r="AB395" s="10"/>
      <c r="AC395" s="10"/>
      <c r="AD395" s="10"/>
      <c r="AE395" s="75"/>
      <c r="AF395" s="8"/>
      <c r="AG395" s="2">
        <f t="shared" si="24"/>
        <v>1</v>
      </c>
      <c r="AH395" s="78">
        <f t="shared" si="25"/>
        <v>8</v>
      </c>
    </row>
    <row r="396" spans="1:34" s="9" customFormat="1" x14ac:dyDescent="0.45">
      <c r="A396" s="16"/>
      <c r="B396" s="13"/>
      <c r="C396" s="20" t="s">
        <v>322</v>
      </c>
      <c r="D396" s="16"/>
      <c r="E396" s="13" t="str">
        <f>IF(ISBLANK(A396),"neu",IF(ISBLANK(C396),"weg",IF(A396&lt;&gt;C396,"geändert","")))</f>
        <v>neu</v>
      </c>
      <c r="F396" s="13"/>
      <c r="G396" s="13"/>
      <c r="H396" s="13" t="s">
        <v>13</v>
      </c>
      <c r="I396" s="7"/>
      <c r="J396" s="1"/>
      <c r="K396" s="1">
        <v>1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/>
      <c r="R396" s="74">
        <v>1</v>
      </c>
      <c r="S396" s="85"/>
      <c r="T396" s="85"/>
      <c r="U396" s="85"/>
      <c r="V396" s="85"/>
      <c r="W396" s="85"/>
      <c r="X396" s="85"/>
      <c r="Y396" s="85"/>
      <c r="Z396" s="83">
        <v>1</v>
      </c>
      <c r="AA396" s="10"/>
      <c r="AB396" s="10"/>
      <c r="AC396" s="10"/>
      <c r="AD396" s="10"/>
      <c r="AE396" s="75"/>
      <c r="AF396" s="8"/>
      <c r="AG396" s="2">
        <f t="shared" si="24"/>
        <v>1</v>
      </c>
      <c r="AH396" s="78">
        <f t="shared" si="25"/>
        <v>8</v>
      </c>
    </row>
    <row r="397" spans="1:34" s="9" customFormat="1" x14ac:dyDescent="0.45">
      <c r="A397" s="16"/>
      <c r="B397" s="13"/>
      <c r="C397" s="20" t="s">
        <v>323</v>
      </c>
      <c r="D397" s="16"/>
      <c r="E397" s="13" t="str">
        <f>IF(ISBLANK(A397),"neu",IF(ISBLANK(C397),"weg",IF(A397&lt;&gt;C397,"geändert","")))</f>
        <v>neu</v>
      </c>
      <c r="F397" s="13"/>
      <c r="G397" s="13"/>
      <c r="H397" s="13" t="s">
        <v>14</v>
      </c>
      <c r="I397" s="7"/>
      <c r="J397" s="1"/>
      <c r="K397" s="1">
        <v>1</v>
      </c>
      <c r="L397" s="1">
        <v>1</v>
      </c>
      <c r="M397" s="1">
        <v>1</v>
      </c>
      <c r="N397" s="1">
        <v>1</v>
      </c>
      <c r="O397" s="1">
        <v>1</v>
      </c>
      <c r="P397" s="1">
        <v>1</v>
      </c>
      <c r="Q397" s="1"/>
      <c r="R397" s="74">
        <v>1</v>
      </c>
      <c r="S397" s="85"/>
      <c r="T397" s="85"/>
      <c r="U397" s="85"/>
      <c r="V397" s="85"/>
      <c r="W397" s="85"/>
      <c r="X397" s="85"/>
      <c r="Y397" s="85"/>
      <c r="Z397" s="83">
        <v>1</v>
      </c>
      <c r="AA397" s="10"/>
      <c r="AB397" s="10"/>
      <c r="AC397" s="10"/>
      <c r="AD397" s="10"/>
      <c r="AE397" s="75"/>
      <c r="AF397" s="8"/>
      <c r="AG397" s="2">
        <f t="shared" si="24"/>
        <v>1</v>
      </c>
      <c r="AH397" s="78">
        <f t="shared" si="25"/>
        <v>8</v>
      </c>
    </row>
    <row r="398" spans="1:34" s="9" customFormat="1" x14ac:dyDescent="0.45">
      <c r="A398" s="16"/>
      <c r="B398" s="13"/>
      <c r="C398" s="39" t="s">
        <v>726</v>
      </c>
      <c r="D398" s="16"/>
      <c r="E398" s="13" t="str">
        <f>IF(ISBLANK(A398),"neu",IF(ISBLANK(C398),"weg",IF(A398&lt;&gt;C398,"geändert","")))</f>
        <v>neu</v>
      </c>
      <c r="F398" s="13"/>
      <c r="G398" s="13"/>
      <c r="H398" s="47" t="s">
        <v>15</v>
      </c>
      <c r="I398" s="7"/>
      <c r="J398" s="1"/>
      <c r="K398" s="1"/>
      <c r="L398" s="1">
        <v>1</v>
      </c>
      <c r="M398" s="1">
        <v>1</v>
      </c>
      <c r="N398" s="1">
        <v>1</v>
      </c>
      <c r="O398" s="1">
        <v>1</v>
      </c>
      <c r="P398" s="1">
        <v>1</v>
      </c>
      <c r="Q398" s="1"/>
      <c r="R398" s="74">
        <v>1</v>
      </c>
      <c r="S398" s="85"/>
      <c r="T398" s="85"/>
      <c r="U398" s="85"/>
      <c r="V398" s="85"/>
      <c r="W398" s="85"/>
      <c r="X398" s="85"/>
      <c r="Y398" s="85"/>
      <c r="Z398" s="84">
        <v>1</v>
      </c>
      <c r="AA398" s="10"/>
      <c r="AB398" s="10"/>
      <c r="AC398" s="10"/>
      <c r="AD398" s="10"/>
      <c r="AE398" s="75"/>
      <c r="AF398" s="8"/>
      <c r="AG398" s="2">
        <f t="shared" si="24"/>
        <v>1</v>
      </c>
      <c r="AH398" s="78">
        <f t="shared" si="25"/>
        <v>8</v>
      </c>
    </row>
    <row r="399" spans="1:34" s="9" customFormat="1" x14ac:dyDescent="0.45">
      <c r="A399" s="16" t="s">
        <v>191</v>
      </c>
      <c r="B399" s="13"/>
      <c r="C399" s="17"/>
      <c r="D399" s="26" t="s">
        <v>442</v>
      </c>
      <c r="E399" s="13" t="str">
        <f>IF(ISBLANK(A399),"neu",IF(ISBLANK(C399),"weg",IF(A399&lt;&gt;C399,"geändert","")))</f>
        <v>weg</v>
      </c>
      <c r="F399" s="13"/>
      <c r="G399" s="13"/>
      <c r="H399"/>
      <c r="I399" s="7"/>
      <c r="J399" s="1"/>
      <c r="K399" s="1"/>
      <c r="L399" s="1"/>
      <c r="M399" s="1"/>
      <c r="N399" s="1"/>
      <c r="O399" s="1"/>
      <c r="P399" s="1"/>
      <c r="Q399" s="1"/>
      <c r="R399" s="74" t="s">
        <v>731</v>
      </c>
      <c r="S399" s="10"/>
      <c r="T399" s="10"/>
      <c r="U399" s="10"/>
      <c r="V399" s="10"/>
      <c r="W399" s="10"/>
      <c r="Y399" s="10"/>
      <c r="Z399" s="10"/>
      <c r="AA399" s="10"/>
      <c r="AB399" s="10"/>
      <c r="AC399" s="10"/>
      <c r="AD399" s="10"/>
      <c r="AE399" s="75"/>
      <c r="AF399" s="8"/>
      <c r="AG399" s="2" t="str">
        <f t="shared" si="24"/>
        <v/>
      </c>
      <c r="AH399" s="78" t="str">
        <f t="shared" si="25"/>
        <v/>
      </c>
    </row>
    <row r="400" spans="1:34" s="9" customFormat="1" x14ac:dyDescent="0.45">
      <c r="A400" s="16" t="s">
        <v>192</v>
      </c>
      <c r="B400" s="13"/>
      <c r="C400" s="16" t="s">
        <v>324</v>
      </c>
      <c r="D400" s="16"/>
      <c r="E400" s="13" t="str">
        <f>IF(ISBLANK(A400),"neu",IF(ISBLANK(C400),"weg",IF(A400&lt;&gt;C400,"geändert","")))</f>
        <v>geändert</v>
      </c>
      <c r="F400" s="13"/>
      <c r="G400" s="13"/>
      <c r="H400" t="s">
        <v>13</v>
      </c>
      <c r="I400" s="36" t="s">
        <v>53</v>
      </c>
      <c r="J400" s="1"/>
      <c r="K400" s="1">
        <v>1</v>
      </c>
      <c r="L400" s="1">
        <v>1</v>
      </c>
      <c r="M400" s="1"/>
      <c r="N400" s="1">
        <v>1</v>
      </c>
      <c r="O400" s="1">
        <v>1</v>
      </c>
      <c r="P400" s="1">
        <v>1</v>
      </c>
      <c r="Q400" s="1">
        <v>1</v>
      </c>
      <c r="R400" s="74">
        <v>1</v>
      </c>
      <c r="S400" s="83">
        <v>1</v>
      </c>
      <c r="T400" s="10"/>
      <c r="U400" s="10"/>
      <c r="V400" s="10"/>
      <c r="W400" s="10"/>
      <c r="Y400" s="10"/>
      <c r="Z400" s="10"/>
      <c r="AA400" s="10"/>
      <c r="AB400" s="10"/>
      <c r="AC400" s="10"/>
      <c r="AD400" s="10"/>
      <c r="AE400" s="75"/>
      <c r="AF400" s="8"/>
      <c r="AG400" s="2">
        <f t="shared" si="24"/>
        <v>1</v>
      </c>
      <c r="AH400" s="78">
        <f t="shared" si="25"/>
        <v>1</v>
      </c>
    </row>
    <row r="401" spans="1:34" s="9" customFormat="1" x14ac:dyDescent="0.45">
      <c r="A401" s="16" t="s">
        <v>193</v>
      </c>
      <c r="B401" s="13"/>
      <c r="C401" s="16" t="s">
        <v>325</v>
      </c>
      <c r="D401" s="16"/>
      <c r="E401" s="13" t="str">
        <f>IF(ISBLANK(A401),"neu",IF(ISBLANK(C401),"weg",IF(A401&lt;&gt;C401,"geändert","")))</f>
        <v>geändert</v>
      </c>
      <c r="F401" s="13"/>
      <c r="G401" s="13"/>
      <c r="H401" t="s">
        <v>14</v>
      </c>
      <c r="I401" s="36" t="s">
        <v>53</v>
      </c>
      <c r="J401" s="1"/>
      <c r="K401" s="1">
        <v>1</v>
      </c>
      <c r="L401" s="1">
        <v>1</v>
      </c>
      <c r="M401" s="1"/>
      <c r="N401" s="1">
        <v>1</v>
      </c>
      <c r="O401" s="1">
        <v>1</v>
      </c>
      <c r="P401" s="1">
        <v>1</v>
      </c>
      <c r="Q401" s="1">
        <v>1</v>
      </c>
      <c r="R401" s="74">
        <v>1</v>
      </c>
      <c r="S401" s="83">
        <v>1</v>
      </c>
      <c r="T401" s="10"/>
      <c r="U401" s="10"/>
      <c r="V401" s="10"/>
      <c r="W401" s="10"/>
      <c r="Y401" s="10"/>
      <c r="Z401" s="10"/>
      <c r="AA401" s="10"/>
      <c r="AB401" s="10"/>
      <c r="AC401" s="10"/>
      <c r="AD401" s="10"/>
      <c r="AE401" s="75"/>
      <c r="AF401" s="8"/>
      <c r="AG401" s="2">
        <f t="shared" si="24"/>
        <v>1</v>
      </c>
      <c r="AH401" s="78">
        <f t="shared" si="25"/>
        <v>1</v>
      </c>
    </row>
    <row r="402" spans="1:34" s="9" customFormat="1" x14ac:dyDescent="0.45">
      <c r="A402" s="13" t="s">
        <v>194</v>
      </c>
      <c r="B402" s="13"/>
      <c r="C402" s="21"/>
      <c r="D402" s="21" t="s">
        <v>351</v>
      </c>
      <c r="E402" s="13" t="str">
        <f>IF(ISBLANK(A402),"neu",IF(ISBLANK(C402),"weg",IF(A402&lt;&gt;C402,"geändert","")))</f>
        <v>weg</v>
      </c>
      <c r="F402" s="13"/>
      <c r="G402" s="13"/>
      <c r="H402"/>
      <c r="I402" s="7"/>
      <c r="J402" s="1"/>
      <c r="K402" s="1"/>
      <c r="L402" s="1"/>
      <c r="M402" s="1"/>
      <c r="N402" s="1"/>
      <c r="O402" s="1"/>
      <c r="P402" s="1"/>
      <c r="Q402" s="1"/>
      <c r="R402" s="74" t="s">
        <v>731</v>
      </c>
      <c r="S402" s="10"/>
      <c r="T402" s="10"/>
      <c r="U402" s="10"/>
      <c r="V402" s="10"/>
      <c r="W402" s="10"/>
      <c r="Y402" s="10"/>
      <c r="Z402" s="10"/>
      <c r="AA402" s="10"/>
      <c r="AB402" s="10"/>
      <c r="AC402" s="10"/>
      <c r="AD402" s="10"/>
      <c r="AE402" s="75"/>
      <c r="AF402" s="8"/>
      <c r="AG402" s="2" t="str">
        <f t="shared" si="24"/>
        <v/>
      </c>
      <c r="AH402" s="78" t="str">
        <f t="shared" si="25"/>
        <v/>
      </c>
    </row>
    <row r="403" spans="1:34" s="9" customFormat="1" x14ac:dyDescent="0.45">
      <c r="A403" s="24" t="s">
        <v>367</v>
      </c>
      <c r="B403" s="13"/>
      <c r="C403" s="16" t="s">
        <v>326</v>
      </c>
      <c r="D403" s="16" t="s">
        <v>443</v>
      </c>
      <c r="E403" s="13" t="str">
        <f>IF(ISBLANK(A403),"neu",IF(ISBLANK(C403),"weg",IF(A403&lt;&gt;C403,"geändert","")))</f>
        <v>geändert</v>
      </c>
      <c r="F403" s="13"/>
      <c r="G403" s="13"/>
      <c r="H403" t="s">
        <v>11</v>
      </c>
      <c r="I403" s="7"/>
      <c r="J403" s="1"/>
      <c r="K403" s="1">
        <v>1</v>
      </c>
      <c r="L403" s="1">
        <v>1</v>
      </c>
      <c r="M403" s="1"/>
      <c r="N403" s="1">
        <v>1</v>
      </c>
      <c r="O403" s="1">
        <v>1</v>
      </c>
      <c r="P403" s="1">
        <v>1</v>
      </c>
      <c r="Q403" s="1">
        <v>1</v>
      </c>
      <c r="R403" s="74">
        <v>1</v>
      </c>
      <c r="S403" s="10"/>
      <c r="T403" s="10"/>
      <c r="U403" s="10"/>
      <c r="V403" s="10"/>
      <c r="W403" s="10"/>
      <c r="Y403" s="10"/>
      <c r="Z403" s="10"/>
      <c r="AA403" s="10"/>
      <c r="AB403" s="10"/>
      <c r="AC403" s="10"/>
      <c r="AD403" s="83">
        <v>1</v>
      </c>
      <c r="AE403" s="75"/>
      <c r="AF403" s="8"/>
      <c r="AG403" s="2">
        <f t="shared" si="24"/>
        <v>1</v>
      </c>
      <c r="AH403" s="78">
        <f t="shared" si="25"/>
        <v>12</v>
      </c>
    </row>
    <row r="404" spans="1:34" s="9" customFormat="1" x14ac:dyDescent="0.45">
      <c r="A404" s="24" t="s">
        <v>195</v>
      </c>
      <c r="B404" s="13"/>
      <c r="D404" s="27" t="s">
        <v>370</v>
      </c>
      <c r="E404" s="13" t="str">
        <f>IF(ISBLANK(A404),"neu",IF(ISBLANK(C404),"weg",IF(A404&lt;&gt;C404,"geändert","")))</f>
        <v>weg</v>
      </c>
      <c r="F404" s="13"/>
      <c r="G404" s="13"/>
      <c r="H404"/>
      <c r="I404" s="7"/>
      <c r="J404" s="1"/>
      <c r="K404" s="1"/>
      <c r="L404" s="1"/>
      <c r="M404" s="1"/>
      <c r="N404" s="1"/>
      <c r="O404" s="1"/>
      <c r="P404" s="1"/>
      <c r="Q404" s="1"/>
      <c r="R404" s="74" t="s">
        <v>731</v>
      </c>
      <c r="S404" s="10"/>
      <c r="T404" s="10"/>
      <c r="U404" s="10"/>
      <c r="V404" s="10"/>
      <c r="W404" s="10"/>
      <c r="Y404" s="10"/>
      <c r="Z404" s="10"/>
      <c r="AA404" s="10"/>
      <c r="AB404" s="10"/>
      <c r="AC404" s="10"/>
      <c r="AD404" s="10"/>
      <c r="AE404" s="75"/>
      <c r="AF404" s="8"/>
      <c r="AG404" s="2" t="str">
        <f t="shared" si="24"/>
        <v/>
      </c>
      <c r="AH404" s="78" t="str">
        <f t="shared" si="25"/>
        <v/>
      </c>
    </row>
    <row r="405" spans="1:34" s="9" customFormat="1" x14ac:dyDescent="0.45">
      <c r="A405" s="13" t="s">
        <v>196</v>
      </c>
      <c r="B405" s="13"/>
      <c r="C405" s="21" t="s">
        <v>352</v>
      </c>
      <c r="D405" s="21"/>
      <c r="E405" s="13" t="str">
        <f>IF(ISBLANK(A405),"neu",IF(ISBLANK(C405),"weg",IF(A405&lt;&gt;C405,"geändert","")))</f>
        <v>geändert</v>
      </c>
      <c r="F405" s="13"/>
      <c r="G405" s="13"/>
      <c r="H405" t="s">
        <v>12</v>
      </c>
      <c r="I405" s="36" t="s">
        <v>53</v>
      </c>
      <c r="J405" s="1"/>
      <c r="K405" s="1"/>
      <c r="L405" s="1">
        <v>1</v>
      </c>
      <c r="M405" s="1"/>
      <c r="N405" s="1">
        <v>1</v>
      </c>
      <c r="O405" s="1">
        <v>1</v>
      </c>
      <c r="P405" s="1">
        <v>1</v>
      </c>
      <c r="Q405" s="1">
        <v>1</v>
      </c>
      <c r="R405" s="74">
        <v>1</v>
      </c>
      <c r="S405" s="10"/>
      <c r="T405" s="10"/>
      <c r="U405" s="10"/>
      <c r="V405" s="10"/>
      <c r="W405" s="10"/>
      <c r="Y405" s="10"/>
      <c r="Z405" s="10"/>
      <c r="AA405" s="10"/>
      <c r="AB405" s="10"/>
      <c r="AC405" s="10"/>
      <c r="AD405" s="83">
        <v>1</v>
      </c>
      <c r="AE405" s="75"/>
      <c r="AF405" s="8"/>
      <c r="AG405" s="2">
        <f t="shared" si="24"/>
        <v>1</v>
      </c>
      <c r="AH405" s="78">
        <f t="shared" si="25"/>
        <v>12</v>
      </c>
    </row>
    <row r="406" spans="1:34" s="9" customFormat="1" x14ac:dyDescent="0.45">
      <c r="A406" s="16" t="s">
        <v>197</v>
      </c>
      <c r="B406" s="13"/>
      <c r="C406" s="16" t="s">
        <v>197</v>
      </c>
      <c r="D406" s="16"/>
      <c r="E406" s="13" t="str">
        <f>IF(ISBLANK(A406),"neu",IF(ISBLANK(C406),"weg",IF(A406&lt;&gt;C406,"geändert","")))</f>
        <v/>
      </c>
      <c r="F406" s="13"/>
      <c r="G406" s="13"/>
      <c r="H406" t="s">
        <v>11</v>
      </c>
      <c r="I406" s="7"/>
      <c r="J406" s="1"/>
      <c r="K406" s="1">
        <v>1</v>
      </c>
      <c r="L406" s="1">
        <v>1</v>
      </c>
      <c r="M406" s="1">
        <v>1</v>
      </c>
      <c r="N406" s="1">
        <v>1</v>
      </c>
      <c r="O406" s="1">
        <v>1</v>
      </c>
      <c r="P406" s="1">
        <v>1</v>
      </c>
      <c r="Q406" s="1">
        <v>1</v>
      </c>
      <c r="R406" s="74">
        <v>1</v>
      </c>
      <c r="S406" s="10"/>
      <c r="T406" s="10"/>
      <c r="U406" s="10"/>
      <c r="V406" s="10"/>
      <c r="W406" s="10"/>
      <c r="Y406" s="10"/>
      <c r="Z406" s="10"/>
      <c r="AA406" s="10"/>
      <c r="AB406" s="10"/>
      <c r="AC406" s="10"/>
      <c r="AD406" s="83">
        <v>1</v>
      </c>
      <c r="AE406" s="75"/>
      <c r="AF406" s="8"/>
      <c r="AG406" s="2">
        <f t="shared" si="24"/>
        <v>1</v>
      </c>
      <c r="AH406" s="78">
        <f t="shared" si="25"/>
        <v>12</v>
      </c>
    </row>
    <row r="407" spans="1:34" s="9" customFormat="1" x14ac:dyDescent="0.45">
      <c r="A407" s="16" t="s">
        <v>198</v>
      </c>
      <c r="B407" s="13"/>
      <c r="C407" s="16" t="s">
        <v>198</v>
      </c>
      <c r="D407" s="16"/>
      <c r="E407" s="13" t="str">
        <f>IF(ISBLANK(A407),"neu",IF(ISBLANK(C407),"weg",IF(A407&lt;&gt;C407,"geändert","")))</f>
        <v/>
      </c>
      <c r="F407" s="13"/>
      <c r="G407" s="13"/>
      <c r="H407" t="s">
        <v>11</v>
      </c>
      <c r="I407" s="36" t="s">
        <v>53</v>
      </c>
      <c r="J407" s="1"/>
      <c r="K407" s="1">
        <v>1</v>
      </c>
      <c r="L407" s="1">
        <v>1</v>
      </c>
      <c r="M407" s="1"/>
      <c r="N407" s="1">
        <v>1</v>
      </c>
      <c r="O407" s="1">
        <v>1</v>
      </c>
      <c r="P407" s="1">
        <v>1</v>
      </c>
      <c r="Q407" s="1">
        <v>1</v>
      </c>
      <c r="R407" s="74">
        <v>1</v>
      </c>
      <c r="S407" s="10"/>
      <c r="T407" s="10"/>
      <c r="U407" s="10"/>
      <c r="V407" s="10"/>
      <c r="W407" s="10"/>
      <c r="Y407" s="10"/>
      <c r="Z407" s="10"/>
      <c r="AA407" s="10"/>
      <c r="AB407" s="10"/>
      <c r="AC407" s="10"/>
      <c r="AD407" s="83">
        <v>1</v>
      </c>
      <c r="AE407" s="75"/>
      <c r="AF407" s="8"/>
      <c r="AG407" s="2">
        <f t="shared" si="24"/>
        <v>1</v>
      </c>
      <c r="AH407" s="78">
        <f t="shared" si="25"/>
        <v>12</v>
      </c>
    </row>
    <row r="408" spans="1:34" s="9" customFormat="1" x14ac:dyDescent="0.45">
      <c r="A408" s="16" t="s">
        <v>199</v>
      </c>
      <c r="B408" s="13"/>
      <c r="C408" s="16" t="s">
        <v>199</v>
      </c>
      <c r="D408" s="16"/>
      <c r="E408" s="13" t="str">
        <f>IF(ISBLANK(A408),"neu",IF(ISBLANK(C408),"weg",IF(A408&lt;&gt;C408,"geändert","")))</f>
        <v/>
      </c>
      <c r="F408" s="13"/>
      <c r="G408" s="13"/>
      <c r="H408" t="s">
        <v>11</v>
      </c>
      <c r="I408" s="36" t="s">
        <v>53</v>
      </c>
      <c r="J408" s="1"/>
      <c r="K408" s="1">
        <v>1</v>
      </c>
      <c r="L408" s="1">
        <v>1</v>
      </c>
      <c r="M408" s="1"/>
      <c r="N408" s="1">
        <v>1</v>
      </c>
      <c r="O408" s="1">
        <v>1</v>
      </c>
      <c r="P408" s="1">
        <v>1</v>
      </c>
      <c r="Q408" s="1">
        <v>1</v>
      </c>
      <c r="R408" s="74">
        <v>1</v>
      </c>
      <c r="S408" s="10"/>
      <c r="T408" s="10"/>
      <c r="U408" s="10"/>
      <c r="V408" s="10"/>
      <c r="W408" s="10"/>
      <c r="Y408" s="10"/>
      <c r="Z408" s="10"/>
      <c r="AA408" s="10"/>
      <c r="AB408" s="10"/>
      <c r="AC408" s="10"/>
      <c r="AD408" s="83">
        <v>1</v>
      </c>
      <c r="AE408" s="75"/>
      <c r="AF408" s="8"/>
      <c r="AG408" s="2">
        <f t="shared" si="24"/>
        <v>1</v>
      </c>
      <c r="AH408" s="78">
        <f t="shared" si="25"/>
        <v>12</v>
      </c>
    </row>
    <row r="409" spans="1:34" s="9" customFormat="1" x14ac:dyDescent="0.45">
      <c r="A409" s="16" t="s">
        <v>200</v>
      </c>
      <c r="B409" s="13"/>
      <c r="C409" s="16" t="s">
        <v>200</v>
      </c>
      <c r="D409" s="16"/>
      <c r="E409" s="13" t="str">
        <f>IF(ISBLANK(A409),"neu",IF(ISBLANK(C409),"weg",IF(A409&lt;&gt;C409,"geändert","")))</f>
        <v/>
      </c>
      <c r="F409" s="13"/>
      <c r="G409" s="13"/>
      <c r="H409" t="s">
        <v>11</v>
      </c>
      <c r="I409" s="36" t="s">
        <v>53</v>
      </c>
      <c r="J409" s="1"/>
      <c r="K409" s="1">
        <v>1</v>
      </c>
      <c r="L409" s="1">
        <v>1</v>
      </c>
      <c r="M409" s="1"/>
      <c r="N409" s="1">
        <v>1</v>
      </c>
      <c r="O409" s="1">
        <v>1</v>
      </c>
      <c r="P409" s="1">
        <v>1</v>
      </c>
      <c r="Q409" s="1">
        <v>1</v>
      </c>
      <c r="R409" s="74">
        <v>1</v>
      </c>
      <c r="S409" s="10"/>
      <c r="T409" s="10"/>
      <c r="U409" s="10"/>
      <c r="V409" s="10"/>
      <c r="W409" s="10"/>
      <c r="Y409" s="10"/>
      <c r="Z409" s="10"/>
      <c r="AA409" s="10"/>
      <c r="AB409" s="10"/>
      <c r="AC409" s="10"/>
      <c r="AD409" s="83">
        <v>1</v>
      </c>
      <c r="AE409" s="75"/>
      <c r="AF409" s="8"/>
      <c r="AG409" s="2">
        <f t="shared" si="24"/>
        <v>1</v>
      </c>
      <c r="AH409" s="78">
        <f t="shared" si="25"/>
        <v>12</v>
      </c>
    </row>
    <row r="410" spans="1:34" s="9" customFormat="1" x14ac:dyDescent="0.45">
      <c r="A410" s="16" t="s">
        <v>201</v>
      </c>
      <c r="B410" s="13"/>
      <c r="C410" s="16" t="s">
        <v>201</v>
      </c>
      <c r="D410" s="16"/>
      <c r="E410" s="13" t="str">
        <f>IF(ISBLANK(A410),"neu",IF(ISBLANK(C410),"weg",IF(A410&lt;&gt;C410,"geändert","")))</f>
        <v/>
      </c>
      <c r="F410" s="13"/>
      <c r="G410" s="13"/>
      <c r="H410" t="s">
        <v>11</v>
      </c>
      <c r="I410" s="36" t="s">
        <v>53</v>
      </c>
      <c r="J410" s="1"/>
      <c r="K410" s="1">
        <v>1</v>
      </c>
      <c r="L410" s="1">
        <v>1</v>
      </c>
      <c r="M410" s="1"/>
      <c r="N410" s="1">
        <v>1</v>
      </c>
      <c r="O410" s="1">
        <v>1</v>
      </c>
      <c r="P410" s="1">
        <v>1</v>
      </c>
      <c r="Q410" s="1">
        <v>1</v>
      </c>
      <c r="R410" s="74">
        <v>1</v>
      </c>
      <c r="S410" s="10"/>
      <c r="T410" s="10"/>
      <c r="U410" s="10"/>
      <c r="V410" s="10"/>
      <c r="W410" s="10"/>
      <c r="Y410" s="10"/>
      <c r="Z410" s="10"/>
      <c r="AA410" s="10"/>
      <c r="AB410" s="10"/>
      <c r="AC410" s="10"/>
      <c r="AD410" s="83">
        <v>1</v>
      </c>
      <c r="AE410" s="75"/>
      <c r="AF410" s="8"/>
      <c r="AG410" s="2">
        <f t="shared" si="24"/>
        <v>1</v>
      </c>
      <c r="AH410" s="78">
        <f t="shared" si="25"/>
        <v>12</v>
      </c>
    </row>
    <row r="411" spans="1:34" s="9" customFormat="1" x14ac:dyDescent="0.45">
      <c r="A411" s="16" t="s">
        <v>202</v>
      </c>
      <c r="B411" s="13"/>
      <c r="C411" s="16" t="s">
        <v>202</v>
      </c>
      <c r="D411" s="16"/>
      <c r="E411" s="13" t="str">
        <f>IF(ISBLANK(A411),"neu",IF(ISBLANK(C411),"weg",IF(A411&lt;&gt;C411,"geändert","")))</f>
        <v/>
      </c>
      <c r="F411" s="13"/>
      <c r="G411" s="13"/>
      <c r="H411" t="s">
        <v>11</v>
      </c>
      <c r="I411" s="36" t="s">
        <v>53</v>
      </c>
      <c r="J411" s="1"/>
      <c r="K411" s="1">
        <v>1</v>
      </c>
      <c r="L411" s="1">
        <v>1</v>
      </c>
      <c r="M411" s="1"/>
      <c r="N411" s="1">
        <v>1</v>
      </c>
      <c r="O411" s="1">
        <v>1</v>
      </c>
      <c r="P411" s="1">
        <v>1</v>
      </c>
      <c r="Q411" s="1">
        <v>1</v>
      </c>
      <c r="R411" s="74">
        <v>1</v>
      </c>
      <c r="S411" s="10"/>
      <c r="T411" s="10"/>
      <c r="U411" s="10"/>
      <c r="V411" s="10"/>
      <c r="W411" s="10"/>
      <c r="Y411" s="10"/>
      <c r="Z411" s="10"/>
      <c r="AA411" s="10"/>
      <c r="AB411" s="10"/>
      <c r="AC411" s="10"/>
      <c r="AD411" s="83">
        <v>1</v>
      </c>
      <c r="AE411" s="75"/>
      <c r="AF411" s="8"/>
      <c r="AG411" s="2">
        <f t="shared" si="24"/>
        <v>1</v>
      </c>
      <c r="AH411" s="78">
        <f t="shared" si="25"/>
        <v>12</v>
      </c>
    </row>
    <row r="412" spans="1:34" s="9" customFormat="1" x14ac:dyDescent="0.45">
      <c r="A412" s="16" t="s">
        <v>203</v>
      </c>
      <c r="B412" s="13"/>
      <c r="C412" s="16" t="s">
        <v>203</v>
      </c>
      <c r="D412" s="16"/>
      <c r="E412" s="13" t="str">
        <f>IF(ISBLANK(A412),"neu",IF(ISBLANK(C412),"weg",IF(A412&lt;&gt;C412,"geändert","")))</f>
        <v/>
      </c>
      <c r="F412" s="13"/>
      <c r="G412" s="13"/>
      <c r="H412" t="s">
        <v>11</v>
      </c>
      <c r="I412" s="36" t="s">
        <v>53</v>
      </c>
      <c r="J412" s="1"/>
      <c r="K412" s="1">
        <v>1</v>
      </c>
      <c r="L412" s="1">
        <v>1</v>
      </c>
      <c r="M412" s="1"/>
      <c r="N412" s="1">
        <v>1</v>
      </c>
      <c r="O412" s="1">
        <v>1</v>
      </c>
      <c r="P412" s="1">
        <v>1</v>
      </c>
      <c r="Q412" s="1">
        <v>1</v>
      </c>
      <c r="R412" s="74">
        <v>1</v>
      </c>
      <c r="S412" s="10"/>
      <c r="T412" s="10"/>
      <c r="U412" s="10"/>
      <c r="V412" s="10"/>
      <c r="W412" s="10"/>
      <c r="Y412" s="10"/>
      <c r="Z412" s="10"/>
      <c r="AA412" s="10"/>
      <c r="AB412" s="10"/>
      <c r="AC412" s="10"/>
      <c r="AD412" s="83">
        <v>1</v>
      </c>
      <c r="AE412" s="75"/>
      <c r="AF412" s="8"/>
      <c r="AG412" s="2">
        <f t="shared" si="24"/>
        <v>1</v>
      </c>
      <c r="AH412" s="78">
        <f t="shared" si="25"/>
        <v>12</v>
      </c>
    </row>
    <row r="413" spans="1:34" s="9" customFormat="1" x14ac:dyDescent="0.45">
      <c r="A413" s="16" t="s">
        <v>204</v>
      </c>
      <c r="B413" s="13"/>
      <c r="C413" s="16" t="s">
        <v>204</v>
      </c>
      <c r="D413" s="16"/>
      <c r="E413" s="13" t="str">
        <f>IF(ISBLANK(A413),"neu",IF(ISBLANK(C413),"weg",IF(A413&lt;&gt;C413,"geändert","")))</f>
        <v/>
      </c>
      <c r="F413" s="13"/>
      <c r="G413" s="13"/>
      <c r="H413" t="s">
        <v>11</v>
      </c>
      <c r="I413" s="36" t="s">
        <v>53</v>
      </c>
      <c r="J413" s="1"/>
      <c r="K413" s="1">
        <v>1</v>
      </c>
      <c r="L413" s="1">
        <v>1</v>
      </c>
      <c r="M413" s="1"/>
      <c r="N413" s="1">
        <v>1</v>
      </c>
      <c r="O413" s="1">
        <v>1</v>
      </c>
      <c r="P413" s="1">
        <v>1</v>
      </c>
      <c r="Q413" s="1">
        <v>1</v>
      </c>
      <c r="R413" s="74">
        <v>1</v>
      </c>
      <c r="S413" s="10"/>
      <c r="T413" s="10"/>
      <c r="U413" s="10"/>
      <c r="V413" s="10"/>
      <c r="W413" s="10"/>
      <c r="Y413" s="10"/>
      <c r="Z413" s="10"/>
      <c r="AA413" s="10"/>
      <c r="AB413" s="10"/>
      <c r="AC413" s="10"/>
      <c r="AD413" s="83">
        <v>1</v>
      </c>
      <c r="AE413" s="75"/>
      <c r="AF413" s="8"/>
      <c r="AG413" s="2">
        <f t="shared" si="24"/>
        <v>1</v>
      </c>
      <c r="AH413" s="78">
        <f t="shared" si="25"/>
        <v>12</v>
      </c>
    </row>
    <row r="414" spans="1:34" s="9" customFormat="1" x14ac:dyDescent="0.45">
      <c r="A414" s="16" t="s">
        <v>205</v>
      </c>
      <c r="B414" s="13"/>
      <c r="C414" s="16" t="s">
        <v>205</v>
      </c>
      <c r="D414" s="16"/>
      <c r="E414" s="13" t="str">
        <f>IF(ISBLANK(A414),"neu",IF(ISBLANK(C414),"weg",IF(A414&lt;&gt;C414,"geändert","")))</f>
        <v/>
      </c>
      <c r="F414" s="13"/>
      <c r="G414" s="13"/>
      <c r="H414" t="s">
        <v>11</v>
      </c>
      <c r="I414" s="36" t="s">
        <v>53</v>
      </c>
      <c r="J414" s="1"/>
      <c r="K414" s="1">
        <v>1</v>
      </c>
      <c r="L414" s="1">
        <v>1</v>
      </c>
      <c r="M414" s="1"/>
      <c r="N414" s="1">
        <v>1</v>
      </c>
      <c r="O414" s="1">
        <v>1</v>
      </c>
      <c r="P414" s="1">
        <v>1</v>
      </c>
      <c r="Q414" s="1">
        <v>1</v>
      </c>
      <c r="R414" s="74">
        <v>1</v>
      </c>
      <c r="S414" s="10"/>
      <c r="T414" s="10"/>
      <c r="U414" s="10"/>
      <c r="V414" s="10"/>
      <c r="W414" s="10"/>
      <c r="Y414" s="10"/>
      <c r="Z414" s="10"/>
      <c r="AA414" s="10"/>
      <c r="AB414" s="10"/>
      <c r="AC414" s="10"/>
      <c r="AD414" s="83">
        <v>1</v>
      </c>
      <c r="AE414" s="75"/>
      <c r="AF414" s="8"/>
      <c r="AG414" s="2">
        <f t="shared" si="24"/>
        <v>1</v>
      </c>
      <c r="AH414" s="78">
        <f t="shared" si="25"/>
        <v>12</v>
      </c>
    </row>
    <row r="415" spans="1:34" s="9" customFormat="1" x14ac:dyDescent="0.45">
      <c r="A415" s="16" t="s">
        <v>206</v>
      </c>
      <c r="B415" s="13"/>
      <c r="C415" s="16" t="s">
        <v>206</v>
      </c>
      <c r="D415" s="16"/>
      <c r="E415" s="13" t="str">
        <f>IF(ISBLANK(A415),"neu",IF(ISBLANK(C415),"weg",IF(A415&lt;&gt;C415,"geändert","")))</f>
        <v/>
      </c>
      <c r="F415" s="13"/>
      <c r="G415" s="13"/>
      <c r="H415" t="s">
        <v>11</v>
      </c>
      <c r="I415" s="36" t="s">
        <v>53</v>
      </c>
      <c r="J415" s="1"/>
      <c r="K415" s="1">
        <v>1</v>
      </c>
      <c r="L415" s="1">
        <v>1</v>
      </c>
      <c r="M415" s="1"/>
      <c r="N415" s="1">
        <v>1</v>
      </c>
      <c r="O415" s="1">
        <v>1</v>
      </c>
      <c r="P415" s="1">
        <v>1</v>
      </c>
      <c r="Q415" s="1">
        <v>1</v>
      </c>
      <c r="R415" s="74">
        <v>1</v>
      </c>
      <c r="S415" s="10"/>
      <c r="T415" s="10"/>
      <c r="U415" s="10"/>
      <c r="V415" s="10"/>
      <c r="W415" s="10"/>
      <c r="Y415" s="10"/>
      <c r="Z415" s="10"/>
      <c r="AA415" s="10"/>
      <c r="AB415" s="10"/>
      <c r="AC415" s="10"/>
      <c r="AD415" s="83">
        <v>1</v>
      </c>
      <c r="AE415" s="75"/>
      <c r="AF415" s="8"/>
      <c r="AG415" s="2">
        <f t="shared" si="24"/>
        <v>1</v>
      </c>
      <c r="AH415" s="78">
        <f t="shared" si="25"/>
        <v>12</v>
      </c>
    </row>
    <row r="416" spans="1:34" s="9" customFormat="1" x14ac:dyDescent="0.45">
      <c r="A416" s="16" t="s">
        <v>207</v>
      </c>
      <c r="B416" s="13"/>
      <c r="C416" s="16" t="s">
        <v>207</v>
      </c>
      <c r="D416" s="16"/>
      <c r="E416" s="13" t="str">
        <f>IF(ISBLANK(A416),"neu",IF(ISBLANK(C416),"weg",IF(A416&lt;&gt;C416,"geändert","")))</f>
        <v/>
      </c>
      <c r="F416" s="13"/>
      <c r="G416" s="13"/>
      <c r="H416" t="s">
        <v>11</v>
      </c>
      <c r="I416" s="36" t="s">
        <v>53</v>
      </c>
      <c r="J416" s="1"/>
      <c r="K416" s="1">
        <v>1</v>
      </c>
      <c r="L416" s="1">
        <v>1</v>
      </c>
      <c r="M416" s="1"/>
      <c r="N416" s="1">
        <v>1</v>
      </c>
      <c r="O416" s="1">
        <v>1</v>
      </c>
      <c r="P416" s="1">
        <v>1</v>
      </c>
      <c r="Q416" s="1">
        <v>1</v>
      </c>
      <c r="R416" s="74">
        <v>1</v>
      </c>
      <c r="S416" s="10"/>
      <c r="T416" s="10"/>
      <c r="U416" s="10"/>
      <c r="V416" s="10"/>
      <c r="W416" s="10"/>
      <c r="Y416" s="10"/>
      <c r="Z416" s="10"/>
      <c r="AA416" s="10"/>
      <c r="AB416" s="10"/>
      <c r="AC416" s="10"/>
      <c r="AD416" s="83">
        <v>1</v>
      </c>
      <c r="AE416" s="75"/>
      <c r="AF416" s="8"/>
      <c r="AG416" s="2">
        <f t="shared" si="24"/>
        <v>1</v>
      </c>
      <c r="AH416" s="78">
        <f t="shared" si="25"/>
        <v>12</v>
      </c>
    </row>
    <row r="417" spans="1:34" s="9" customFormat="1" x14ac:dyDescent="0.45">
      <c r="A417" s="16" t="s">
        <v>208</v>
      </c>
      <c r="B417" s="13"/>
      <c r="C417" s="16" t="s">
        <v>208</v>
      </c>
      <c r="D417" s="16"/>
      <c r="E417" s="13" t="str">
        <f>IF(ISBLANK(A417),"neu",IF(ISBLANK(C417),"weg",IF(A417&lt;&gt;C417,"geändert","")))</f>
        <v/>
      </c>
      <c r="F417" s="13"/>
      <c r="G417" s="13"/>
      <c r="H417" t="s">
        <v>11</v>
      </c>
      <c r="I417" s="36" t="s">
        <v>53</v>
      </c>
      <c r="J417" s="1"/>
      <c r="K417" s="1">
        <v>1</v>
      </c>
      <c r="L417" s="1">
        <v>1</v>
      </c>
      <c r="M417" s="1"/>
      <c r="N417" s="1">
        <v>1</v>
      </c>
      <c r="O417" s="1">
        <v>1</v>
      </c>
      <c r="P417" s="1">
        <v>1</v>
      </c>
      <c r="Q417" s="1">
        <v>1</v>
      </c>
      <c r="R417" s="74">
        <v>1</v>
      </c>
      <c r="S417" s="10"/>
      <c r="T417" s="10"/>
      <c r="U417" s="10"/>
      <c r="V417" s="10"/>
      <c r="W417" s="10"/>
      <c r="Y417" s="10"/>
      <c r="Z417" s="10"/>
      <c r="AA417" s="10"/>
      <c r="AB417" s="10"/>
      <c r="AC417" s="10"/>
      <c r="AD417" s="83">
        <v>1</v>
      </c>
      <c r="AE417" s="75"/>
      <c r="AF417" s="8"/>
      <c r="AG417" s="2">
        <f t="shared" si="24"/>
        <v>1</v>
      </c>
      <c r="AH417" s="78">
        <f t="shared" si="25"/>
        <v>12</v>
      </c>
    </row>
    <row r="418" spans="1:34" s="9" customFormat="1" x14ac:dyDescent="0.45">
      <c r="A418" s="16" t="s">
        <v>209</v>
      </c>
      <c r="B418" s="13"/>
      <c r="C418" s="16" t="s">
        <v>209</v>
      </c>
      <c r="D418" s="16"/>
      <c r="E418" s="13" t="str">
        <f>IF(ISBLANK(A418),"neu",IF(ISBLANK(C418),"weg",IF(A418&lt;&gt;C418,"geändert","")))</f>
        <v/>
      </c>
      <c r="F418" s="13"/>
      <c r="G418" s="13"/>
      <c r="H418" t="s">
        <v>11</v>
      </c>
      <c r="I418" s="36" t="s">
        <v>53</v>
      </c>
      <c r="J418" s="1"/>
      <c r="K418" s="1">
        <v>1</v>
      </c>
      <c r="L418" s="1">
        <v>1</v>
      </c>
      <c r="M418" s="1"/>
      <c r="N418" s="1">
        <v>1</v>
      </c>
      <c r="O418" s="1">
        <v>1</v>
      </c>
      <c r="P418" s="1">
        <v>1</v>
      </c>
      <c r="Q418" s="1">
        <v>1</v>
      </c>
      <c r="R418" s="74">
        <v>1</v>
      </c>
      <c r="S418" s="10"/>
      <c r="T418" s="10"/>
      <c r="U418" s="10"/>
      <c r="V418" s="10"/>
      <c r="W418" s="10"/>
      <c r="Y418" s="10"/>
      <c r="Z418" s="10"/>
      <c r="AA418" s="10"/>
      <c r="AB418" s="10"/>
      <c r="AC418" s="10"/>
      <c r="AD418" s="83">
        <v>1</v>
      </c>
      <c r="AE418" s="75"/>
      <c r="AF418" s="8"/>
      <c r="AG418" s="2">
        <f t="shared" si="24"/>
        <v>1</v>
      </c>
      <c r="AH418" s="78">
        <f t="shared" si="25"/>
        <v>12</v>
      </c>
    </row>
    <row r="419" spans="1:34" s="9" customFormat="1" x14ac:dyDescent="0.45">
      <c r="A419" s="16" t="s">
        <v>210</v>
      </c>
      <c r="B419" s="13"/>
      <c r="C419" s="16" t="s">
        <v>210</v>
      </c>
      <c r="D419" s="16"/>
      <c r="E419" s="13" t="str">
        <f>IF(ISBLANK(A419),"neu",IF(ISBLANK(C419),"weg",IF(A419&lt;&gt;C419,"geändert","")))</f>
        <v/>
      </c>
      <c r="F419" s="13"/>
      <c r="G419" s="13"/>
      <c r="H419" t="s">
        <v>11</v>
      </c>
      <c r="I419" s="36" t="s">
        <v>53</v>
      </c>
      <c r="J419" s="1"/>
      <c r="K419" s="1">
        <v>1</v>
      </c>
      <c r="L419" s="1">
        <v>1</v>
      </c>
      <c r="M419" s="1"/>
      <c r="N419" s="1">
        <v>1</v>
      </c>
      <c r="O419" s="1">
        <v>1</v>
      </c>
      <c r="P419" s="1">
        <v>1</v>
      </c>
      <c r="Q419" s="1">
        <v>1</v>
      </c>
      <c r="R419" s="74">
        <v>1</v>
      </c>
      <c r="S419" s="10"/>
      <c r="T419" s="10"/>
      <c r="U419" s="10"/>
      <c r="V419" s="10"/>
      <c r="W419" s="10"/>
      <c r="Y419" s="10"/>
      <c r="Z419" s="10"/>
      <c r="AA419" s="10"/>
      <c r="AB419" s="10"/>
      <c r="AC419" s="10"/>
      <c r="AD419" s="83">
        <v>1</v>
      </c>
      <c r="AE419" s="75"/>
      <c r="AF419" s="8"/>
      <c r="AG419" s="2">
        <f t="shared" si="24"/>
        <v>1</v>
      </c>
      <c r="AH419" s="78">
        <f t="shared" si="25"/>
        <v>12</v>
      </c>
    </row>
    <row r="420" spans="1:34" s="9" customFormat="1" x14ac:dyDescent="0.45">
      <c r="A420" s="16" t="s">
        <v>211</v>
      </c>
      <c r="B420" s="13"/>
      <c r="C420" s="16" t="s">
        <v>211</v>
      </c>
      <c r="D420" s="16"/>
      <c r="E420" s="13" t="str">
        <f>IF(ISBLANK(A420),"neu",IF(ISBLANK(C420),"weg",IF(A420&lt;&gt;C420,"geändert","")))</f>
        <v/>
      </c>
      <c r="F420" s="13"/>
      <c r="G420" s="13"/>
      <c r="H420" t="s">
        <v>11</v>
      </c>
      <c r="I420" s="7"/>
      <c r="J420" s="1"/>
      <c r="K420" s="1">
        <v>1</v>
      </c>
      <c r="L420" s="1"/>
      <c r="M420" s="1">
        <v>1</v>
      </c>
      <c r="N420" s="1"/>
      <c r="O420" s="1"/>
      <c r="P420" s="1"/>
      <c r="Q420" s="1"/>
      <c r="R420" s="74">
        <v>1</v>
      </c>
      <c r="S420" s="10"/>
      <c r="T420" s="10"/>
      <c r="U420" s="10"/>
      <c r="V420" s="10"/>
      <c r="W420" s="10"/>
      <c r="Y420" s="10"/>
      <c r="Z420" s="10"/>
      <c r="AA420" s="10"/>
      <c r="AB420" s="10"/>
      <c r="AC420" s="10"/>
      <c r="AD420" s="83">
        <v>1</v>
      </c>
      <c r="AE420" s="75"/>
      <c r="AF420" s="8"/>
      <c r="AG420" s="2">
        <f t="shared" ref="AG420:AG438" si="26">IF(SUM(S420:AF420)&gt;0,SUM(S420:AF420),"")</f>
        <v>1</v>
      </c>
      <c r="AH420" s="78">
        <f t="shared" ref="AH420:AH438" si="27">IF(SUM(S420:AF420)&lt;1,"",S420*1+T420*2+U420*3+V420*4+W420*5+X420*6+Y420*7+Z420*8+AA420*9+AB420*10+AC420*11+AD420*12+AE420*13+AF420*14)</f>
        <v>12</v>
      </c>
    </row>
    <row r="421" spans="1:34" s="9" customFormat="1" x14ac:dyDescent="0.45">
      <c r="A421" s="16" t="s">
        <v>212</v>
      </c>
      <c r="B421" s="13"/>
      <c r="C421" s="16" t="s">
        <v>212</v>
      </c>
      <c r="D421" s="16"/>
      <c r="E421" s="13" t="str">
        <f>IF(ISBLANK(A421),"neu",IF(ISBLANK(C421),"weg",IF(A421&lt;&gt;C421,"geändert","")))</f>
        <v/>
      </c>
      <c r="F421" s="13"/>
      <c r="G421" s="13"/>
      <c r="H421" t="s">
        <v>11</v>
      </c>
      <c r="I421" s="7"/>
      <c r="J421" s="1"/>
      <c r="K421" s="1">
        <v>1</v>
      </c>
      <c r="L421" s="1"/>
      <c r="M421" s="1">
        <v>1</v>
      </c>
      <c r="N421" s="1"/>
      <c r="O421" s="1"/>
      <c r="P421" s="1"/>
      <c r="Q421" s="1"/>
      <c r="R421" s="74">
        <v>1</v>
      </c>
      <c r="S421" s="10"/>
      <c r="T421" s="10"/>
      <c r="U421" s="10"/>
      <c r="V421" s="10"/>
      <c r="W421" s="10"/>
      <c r="Y421" s="10"/>
      <c r="Z421" s="10"/>
      <c r="AA421" s="10"/>
      <c r="AB421" s="10"/>
      <c r="AC421" s="10"/>
      <c r="AD421" s="83">
        <v>1</v>
      </c>
      <c r="AE421" s="75"/>
      <c r="AF421" s="8"/>
      <c r="AG421" s="2">
        <f t="shared" si="26"/>
        <v>1</v>
      </c>
      <c r="AH421" s="78">
        <f t="shared" si="27"/>
        <v>12</v>
      </c>
    </row>
    <row r="422" spans="1:34" s="9" customFormat="1" x14ac:dyDescent="0.45">
      <c r="A422" s="16" t="s">
        <v>213</v>
      </c>
      <c r="B422" s="13"/>
      <c r="C422" s="16" t="s">
        <v>213</v>
      </c>
      <c r="D422" s="16"/>
      <c r="E422" s="13" t="str">
        <f>IF(ISBLANK(A422),"neu",IF(ISBLANK(C422),"weg",IF(A422&lt;&gt;C422,"geändert","")))</f>
        <v/>
      </c>
      <c r="F422" s="13"/>
      <c r="G422" s="13"/>
      <c r="H422" t="s">
        <v>11</v>
      </c>
      <c r="I422" s="7"/>
      <c r="J422" s="1"/>
      <c r="K422" s="1">
        <v>1</v>
      </c>
      <c r="L422" s="1">
        <v>1</v>
      </c>
      <c r="M422" s="1">
        <v>1</v>
      </c>
      <c r="N422" s="1">
        <v>1</v>
      </c>
      <c r="O422" s="1">
        <v>1</v>
      </c>
      <c r="P422" s="1">
        <v>1</v>
      </c>
      <c r="Q422" s="1"/>
      <c r="R422" s="74">
        <v>1</v>
      </c>
      <c r="S422" s="10"/>
      <c r="T422" s="10"/>
      <c r="U422" s="10"/>
      <c r="V422" s="10"/>
      <c r="W422" s="10"/>
      <c r="Y422" s="10"/>
      <c r="Z422" s="10"/>
      <c r="AA422" s="10"/>
      <c r="AB422" s="10"/>
      <c r="AC422" s="10"/>
      <c r="AD422" s="83">
        <v>1</v>
      </c>
      <c r="AE422" s="75"/>
      <c r="AF422" s="8"/>
      <c r="AG422" s="2">
        <f t="shared" si="26"/>
        <v>1</v>
      </c>
      <c r="AH422" s="78">
        <f t="shared" si="27"/>
        <v>12</v>
      </c>
    </row>
    <row r="423" spans="1:34" s="9" customFormat="1" x14ac:dyDescent="0.45">
      <c r="A423" s="24" t="s">
        <v>220</v>
      </c>
      <c r="B423" s="13"/>
      <c r="C423" s="16" t="s">
        <v>327</v>
      </c>
      <c r="D423" s="16"/>
      <c r="E423" s="13" t="str">
        <f>IF(ISBLANK(A423),"neu",IF(ISBLANK(C423),"weg",IF(A423&lt;&gt;C423,"geändert","")))</f>
        <v>geändert</v>
      </c>
      <c r="F423" s="13"/>
      <c r="G423" s="13"/>
      <c r="H423" t="s">
        <v>11</v>
      </c>
      <c r="I423" s="7"/>
      <c r="J423" s="1">
        <v>1</v>
      </c>
      <c r="K423" s="1">
        <v>1</v>
      </c>
      <c r="L423" s="1">
        <v>1</v>
      </c>
      <c r="M423" s="1">
        <v>1</v>
      </c>
      <c r="N423" s="1">
        <v>1</v>
      </c>
      <c r="O423" s="1">
        <v>1</v>
      </c>
      <c r="P423" s="1">
        <v>1</v>
      </c>
      <c r="Q423" s="1"/>
      <c r="R423" s="74">
        <v>1</v>
      </c>
      <c r="S423" s="10"/>
      <c r="T423" s="10"/>
      <c r="U423" s="10"/>
      <c r="V423" s="10"/>
      <c r="W423" s="10"/>
      <c r="Y423" s="10"/>
      <c r="Z423" s="10"/>
      <c r="AA423" s="10"/>
      <c r="AB423" s="10"/>
      <c r="AC423" s="83">
        <v>1</v>
      </c>
      <c r="AD423" s="10"/>
      <c r="AE423" s="75"/>
      <c r="AF423" s="8"/>
      <c r="AG423" s="2">
        <f t="shared" si="26"/>
        <v>1</v>
      </c>
      <c r="AH423" s="78">
        <f t="shared" si="27"/>
        <v>11</v>
      </c>
    </row>
    <row r="424" spans="1:34" s="9" customFormat="1" x14ac:dyDescent="0.45">
      <c r="A424" s="13" t="s">
        <v>221</v>
      </c>
      <c r="C424" s="13"/>
      <c r="D424" s="13" t="s">
        <v>441</v>
      </c>
      <c r="E424" s="13" t="str">
        <f>IF(ISBLANK(A424),"neu",IF(ISBLANK(C424),"weg",IF(A424&lt;&gt;C424,"geändert","")))</f>
        <v>weg</v>
      </c>
      <c r="F424" s="13"/>
      <c r="G424" s="13"/>
      <c r="H424"/>
      <c r="I424" s="7"/>
      <c r="J424" s="1"/>
      <c r="K424" s="1"/>
      <c r="L424" s="1"/>
      <c r="M424" s="1"/>
      <c r="N424" s="1"/>
      <c r="O424" s="1"/>
      <c r="P424" s="1"/>
      <c r="Q424" s="1"/>
      <c r="R424" s="74" t="s">
        <v>731</v>
      </c>
      <c r="S424" s="10"/>
      <c r="T424" s="10"/>
      <c r="U424" s="10"/>
      <c r="V424" s="10"/>
      <c r="W424" s="10"/>
      <c r="Y424" s="10"/>
      <c r="Z424" s="10"/>
      <c r="AA424" s="10"/>
      <c r="AB424" s="10"/>
      <c r="AC424" s="10"/>
      <c r="AD424" s="10"/>
      <c r="AE424" s="75"/>
      <c r="AF424" s="8"/>
      <c r="AG424" s="2" t="str">
        <f t="shared" si="26"/>
        <v/>
      </c>
      <c r="AH424" s="78" t="str">
        <f t="shared" si="27"/>
        <v/>
      </c>
    </row>
    <row r="425" spans="1:34" s="9" customFormat="1" x14ac:dyDescent="0.45">
      <c r="A425" s="13" t="s">
        <v>223</v>
      </c>
      <c r="B425" s="13"/>
      <c r="C425" s="16" t="s">
        <v>328</v>
      </c>
      <c r="D425" s="16"/>
      <c r="E425" s="13" t="str">
        <f>IF(ISBLANK(A425),"neu",IF(ISBLANK(C425),"weg",IF(A425&lt;&gt;C425,"geändert","")))</f>
        <v>geändert</v>
      </c>
      <c r="F425" s="13"/>
      <c r="G425" s="13"/>
      <c r="H425" t="s">
        <v>11</v>
      </c>
      <c r="I425" s="7"/>
      <c r="J425" s="1">
        <v>1</v>
      </c>
      <c r="K425" s="1">
        <v>1</v>
      </c>
      <c r="L425" s="1"/>
      <c r="M425" s="1">
        <v>1</v>
      </c>
      <c r="N425" s="1"/>
      <c r="O425" s="1"/>
      <c r="P425" s="1"/>
      <c r="Q425" s="1">
        <v>1</v>
      </c>
      <c r="R425" s="74">
        <v>1</v>
      </c>
      <c r="S425" s="10"/>
      <c r="T425" s="10"/>
      <c r="U425" s="10"/>
      <c r="V425" s="10"/>
      <c r="W425" s="10"/>
      <c r="Y425" s="10"/>
      <c r="Z425" s="10"/>
      <c r="AA425" s="10"/>
      <c r="AB425" s="10"/>
      <c r="AC425" s="83">
        <v>1</v>
      </c>
      <c r="AD425" s="10"/>
      <c r="AE425" s="75"/>
      <c r="AF425" s="8"/>
      <c r="AG425" s="2">
        <f t="shared" si="26"/>
        <v>1</v>
      </c>
      <c r="AH425" s="78">
        <f t="shared" si="27"/>
        <v>11</v>
      </c>
    </row>
    <row r="426" spans="1:34" s="9" customFormat="1" x14ac:dyDescent="0.45">
      <c r="A426" s="24" t="s">
        <v>219</v>
      </c>
      <c r="B426" s="13"/>
      <c r="C426" s="16" t="s">
        <v>329</v>
      </c>
      <c r="D426" s="16"/>
      <c r="E426" s="13" t="str">
        <f>IF(ISBLANK(A426),"neu",IF(ISBLANK(C426),"weg",IF(A426&lt;&gt;C426,"geändert","")))</f>
        <v>geändert</v>
      </c>
      <c r="F426" s="13"/>
      <c r="G426" s="13"/>
      <c r="H426" t="s">
        <v>11</v>
      </c>
      <c r="I426" s="7"/>
      <c r="J426" s="1">
        <v>1</v>
      </c>
      <c r="K426" s="1">
        <v>1</v>
      </c>
      <c r="L426" s="1">
        <v>1</v>
      </c>
      <c r="M426" s="1">
        <v>1</v>
      </c>
      <c r="N426" s="1">
        <v>1</v>
      </c>
      <c r="O426" s="1">
        <v>1</v>
      </c>
      <c r="P426" s="1">
        <v>1</v>
      </c>
      <c r="Q426" s="1">
        <v>1</v>
      </c>
      <c r="R426" s="74">
        <v>1</v>
      </c>
      <c r="S426" s="10"/>
      <c r="T426" s="10"/>
      <c r="U426" s="10"/>
      <c r="V426" s="10"/>
      <c r="W426" s="10"/>
      <c r="Y426" s="10"/>
      <c r="Z426" s="10"/>
      <c r="AA426" s="10"/>
      <c r="AB426" s="10"/>
      <c r="AC426" s="83">
        <v>1</v>
      </c>
      <c r="AD426" s="10"/>
      <c r="AE426" s="75"/>
      <c r="AF426" s="8"/>
      <c r="AG426" s="2">
        <f t="shared" si="26"/>
        <v>1</v>
      </c>
      <c r="AH426" s="78">
        <f t="shared" si="27"/>
        <v>11</v>
      </c>
    </row>
    <row r="427" spans="1:34" s="9" customFormat="1" x14ac:dyDescent="0.45">
      <c r="A427" s="13" t="s">
        <v>222</v>
      </c>
      <c r="B427" s="13"/>
      <c r="C427" s="30"/>
      <c r="D427" s="30" t="s">
        <v>375</v>
      </c>
      <c r="E427" s="13" t="str">
        <f>IF(ISBLANK(A427),"neu",IF(ISBLANK(C427),"weg",IF(A427&lt;&gt;C427,"geändert","")))</f>
        <v>weg</v>
      </c>
      <c r="F427" s="13"/>
      <c r="G427" s="13"/>
      <c r="H427"/>
      <c r="I427" s="7"/>
      <c r="J427" s="1"/>
      <c r="K427" s="1"/>
      <c r="L427" s="1"/>
      <c r="M427" s="1"/>
      <c r="N427" s="1"/>
      <c r="O427" s="1"/>
      <c r="P427" s="1"/>
      <c r="Q427" s="1"/>
      <c r="R427" s="74" t="s">
        <v>731</v>
      </c>
      <c r="S427" s="10"/>
      <c r="T427" s="10"/>
      <c r="U427" s="10"/>
      <c r="V427" s="10"/>
      <c r="W427" s="10"/>
      <c r="Y427" s="10"/>
      <c r="Z427" s="10"/>
      <c r="AA427" s="10"/>
      <c r="AB427" s="10"/>
      <c r="AC427" s="10"/>
      <c r="AD427" s="10"/>
      <c r="AE427" s="75"/>
      <c r="AF427" s="8"/>
      <c r="AG427" s="2" t="str">
        <f t="shared" si="26"/>
        <v/>
      </c>
      <c r="AH427" s="78" t="str">
        <f t="shared" si="27"/>
        <v/>
      </c>
    </row>
    <row r="428" spans="1:34" s="9" customFormat="1" x14ac:dyDescent="0.45">
      <c r="A428" s="16"/>
      <c r="C428" s="29" t="s">
        <v>330</v>
      </c>
      <c r="D428" s="29"/>
      <c r="E428" s="13" t="str">
        <f>IF(ISBLANK(A428),"neu",IF(ISBLANK(C428),"weg",IF(A428&lt;&gt;C428,"geändert","")))</f>
        <v>neu</v>
      </c>
      <c r="F428" s="13"/>
      <c r="G428" s="13"/>
      <c r="H428" s="90" t="s">
        <v>11</v>
      </c>
      <c r="I428" s="7"/>
      <c r="J428" s="1">
        <v>1</v>
      </c>
      <c r="K428" s="1">
        <v>1</v>
      </c>
      <c r="L428" s="1"/>
      <c r="M428" s="1">
        <v>1</v>
      </c>
      <c r="N428" s="1"/>
      <c r="O428" s="1"/>
      <c r="P428" s="1"/>
      <c r="Q428" s="1"/>
      <c r="R428" s="74">
        <v>1</v>
      </c>
      <c r="S428" s="10"/>
      <c r="T428" s="10"/>
      <c r="U428" s="10"/>
      <c r="V428" s="10"/>
      <c r="W428" s="10"/>
      <c r="Y428" s="10"/>
      <c r="Z428" s="10"/>
      <c r="AA428" s="10"/>
      <c r="AB428" s="10"/>
      <c r="AC428" s="10"/>
      <c r="AD428" s="10"/>
      <c r="AE428" s="75"/>
      <c r="AF428" s="91">
        <v>1</v>
      </c>
      <c r="AG428" s="2">
        <f t="shared" si="26"/>
        <v>1</v>
      </c>
      <c r="AH428" s="78">
        <f t="shared" si="27"/>
        <v>14</v>
      </c>
    </row>
    <row r="429" spans="1:34" s="9" customFormat="1" x14ac:dyDescent="0.45">
      <c r="A429" s="16"/>
      <c r="C429" s="29" t="s">
        <v>331</v>
      </c>
      <c r="D429" s="29"/>
      <c r="E429" s="13" t="str">
        <f>IF(ISBLANK(A429),"neu",IF(ISBLANK(C429),"weg",IF(A429&lt;&gt;C429,"geändert","")))</f>
        <v>neu</v>
      </c>
      <c r="F429" s="13"/>
      <c r="G429" s="13"/>
      <c r="H429" s="90" t="s">
        <v>11</v>
      </c>
      <c r="I429" s="7"/>
      <c r="J429" s="1">
        <v>1</v>
      </c>
      <c r="K429" s="1">
        <v>1</v>
      </c>
      <c r="L429" s="1"/>
      <c r="M429" s="1">
        <v>1</v>
      </c>
      <c r="N429" s="1"/>
      <c r="O429" s="1"/>
      <c r="P429" s="1"/>
      <c r="Q429" s="1"/>
      <c r="R429" s="74">
        <v>1</v>
      </c>
      <c r="S429" s="10"/>
      <c r="T429" s="10"/>
      <c r="U429" s="10"/>
      <c r="V429" s="10"/>
      <c r="W429" s="10"/>
      <c r="Y429" s="10"/>
      <c r="Z429" s="10"/>
      <c r="AA429" s="10"/>
      <c r="AB429" s="10"/>
      <c r="AC429" s="10"/>
      <c r="AD429" s="10"/>
      <c r="AE429" s="75"/>
      <c r="AF429" s="91">
        <v>1</v>
      </c>
      <c r="AG429" s="2">
        <f t="shared" si="26"/>
        <v>1</v>
      </c>
      <c r="AH429" s="78">
        <f t="shared" si="27"/>
        <v>14</v>
      </c>
    </row>
    <row r="430" spans="1:34" s="9" customFormat="1" x14ac:dyDescent="0.45">
      <c r="A430" s="24" t="s">
        <v>224</v>
      </c>
      <c r="C430" s="23"/>
      <c r="D430" s="23" t="s">
        <v>693</v>
      </c>
      <c r="E430" s="13" t="str">
        <f>IF(ISBLANK(A430),"neu",IF(ISBLANK(C430),"weg",IF(A430&lt;&gt;C430,"geändert","")))</f>
        <v>weg</v>
      </c>
      <c r="F430" s="13"/>
      <c r="G430" s="13"/>
      <c r="H430"/>
      <c r="I430" s="7"/>
      <c r="J430" s="1"/>
      <c r="K430" s="1"/>
      <c r="L430" s="1"/>
      <c r="M430" s="1"/>
      <c r="N430" s="1"/>
      <c r="O430" s="1">
        <v>1</v>
      </c>
      <c r="P430" s="1"/>
      <c r="Q430" s="1"/>
      <c r="R430" s="74">
        <v>1</v>
      </c>
      <c r="S430" s="10"/>
      <c r="T430" s="10"/>
      <c r="U430" s="10"/>
      <c r="V430" s="10"/>
      <c r="W430" s="10"/>
      <c r="Y430" s="10"/>
      <c r="Z430" s="10"/>
      <c r="AA430" s="10"/>
      <c r="AB430" s="10"/>
      <c r="AC430" s="10"/>
      <c r="AD430" s="10"/>
      <c r="AE430" s="75"/>
      <c r="AF430" s="8"/>
      <c r="AG430" s="2" t="str">
        <f t="shared" si="26"/>
        <v/>
      </c>
      <c r="AH430" s="78" t="str">
        <f t="shared" si="27"/>
        <v/>
      </c>
    </row>
    <row r="431" spans="1:34" s="9" customFormat="1" x14ac:dyDescent="0.45">
      <c r="A431" s="24" t="s">
        <v>225</v>
      </c>
      <c r="C431" s="23"/>
      <c r="D431" s="23" t="s">
        <v>693</v>
      </c>
      <c r="E431" s="13" t="str">
        <f>IF(ISBLANK(A431),"neu",IF(ISBLANK(C431),"weg",IF(A431&lt;&gt;C431,"geändert","")))</f>
        <v>weg</v>
      </c>
      <c r="F431" s="13"/>
      <c r="G431" s="13"/>
      <c r="H431"/>
      <c r="I431" s="7"/>
      <c r="J431" s="1"/>
      <c r="K431" s="1"/>
      <c r="L431" s="1"/>
      <c r="M431" s="1"/>
      <c r="N431" s="1"/>
      <c r="O431" s="1">
        <v>1</v>
      </c>
      <c r="P431" s="1"/>
      <c r="Q431" s="1"/>
      <c r="R431" s="74">
        <v>1</v>
      </c>
      <c r="S431" s="10"/>
      <c r="T431" s="10"/>
      <c r="U431" s="10"/>
      <c r="V431" s="10"/>
      <c r="W431" s="10"/>
      <c r="Y431" s="10"/>
      <c r="Z431" s="10"/>
      <c r="AA431" s="10"/>
      <c r="AB431" s="10"/>
      <c r="AC431" s="10"/>
      <c r="AD431" s="10"/>
      <c r="AE431" s="75"/>
      <c r="AF431" s="8"/>
      <c r="AG431" s="2" t="str">
        <f t="shared" si="26"/>
        <v/>
      </c>
      <c r="AH431" s="78" t="str">
        <f t="shared" si="27"/>
        <v/>
      </c>
    </row>
    <row r="432" spans="1:34" s="9" customFormat="1" x14ac:dyDescent="0.45">
      <c r="A432" s="13" t="s">
        <v>226</v>
      </c>
      <c r="C432" s="23"/>
      <c r="D432" s="23" t="s">
        <v>693</v>
      </c>
      <c r="E432" s="13" t="str">
        <f>IF(ISBLANK(A432),"neu",IF(ISBLANK(C432),"weg",IF(A432&lt;&gt;C432,"geändert","")))</f>
        <v>weg</v>
      </c>
      <c r="F432" s="13"/>
      <c r="G432" s="13"/>
      <c r="H432"/>
      <c r="I432" s="7"/>
      <c r="J432" s="1"/>
      <c r="K432" s="1"/>
      <c r="L432" s="1"/>
      <c r="M432" s="1"/>
      <c r="N432" s="1"/>
      <c r="O432" s="1">
        <v>1</v>
      </c>
      <c r="P432" s="1"/>
      <c r="Q432" s="1"/>
      <c r="R432" s="74">
        <v>1</v>
      </c>
      <c r="S432" s="10"/>
      <c r="T432" s="10"/>
      <c r="U432" s="10"/>
      <c r="V432" s="10"/>
      <c r="W432" s="10"/>
      <c r="Y432" s="10"/>
      <c r="Z432" s="10"/>
      <c r="AA432" s="10"/>
      <c r="AB432" s="10"/>
      <c r="AC432" s="10"/>
      <c r="AD432" s="10"/>
      <c r="AE432" s="75"/>
      <c r="AF432" s="8"/>
      <c r="AG432" s="2" t="str">
        <f t="shared" si="26"/>
        <v/>
      </c>
      <c r="AH432" s="78" t="str">
        <f t="shared" si="27"/>
        <v/>
      </c>
    </row>
    <row r="433" spans="1:34" s="9" customFormat="1" x14ac:dyDescent="0.45">
      <c r="A433" s="13" t="s">
        <v>227</v>
      </c>
      <c r="C433" s="23"/>
      <c r="D433" s="23" t="s">
        <v>693</v>
      </c>
      <c r="E433" s="13" t="str">
        <f>IF(ISBLANK(A433),"neu",IF(ISBLANK(C433),"weg",IF(A433&lt;&gt;C433,"geändert","")))</f>
        <v>weg</v>
      </c>
      <c r="F433" s="13"/>
      <c r="G433" s="13"/>
      <c r="H433"/>
      <c r="I433" s="7"/>
      <c r="J433" s="1"/>
      <c r="K433" s="1"/>
      <c r="L433" s="1"/>
      <c r="M433" s="1"/>
      <c r="N433" s="1"/>
      <c r="O433" s="1">
        <v>1</v>
      </c>
      <c r="P433" s="1"/>
      <c r="Q433" s="1"/>
      <c r="R433" s="74">
        <v>1</v>
      </c>
      <c r="S433" s="10"/>
      <c r="T433" s="10"/>
      <c r="U433" s="10"/>
      <c r="V433" s="10"/>
      <c r="W433" s="10"/>
      <c r="Y433" s="10"/>
      <c r="Z433" s="10"/>
      <c r="AA433" s="10"/>
      <c r="AB433" s="10"/>
      <c r="AC433" s="10"/>
      <c r="AD433" s="10"/>
      <c r="AE433" s="75"/>
      <c r="AF433" s="8"/>
      <c r="AG433" s="2" t="str">
        <f t="shared" si="26"/>
        <v/>
      </c>
      <c r="AH433" s="78" t="str">
        <f t="shared" si="27"/>
        <v/>
      </c>
    </row>
    <row r="434" spans="1:34" s="9" customFormat="1" x14ac:dyDescent="0.45">
      <c r="A434" s="13" t="s">
        <v>228</v>
      </c>
      <c r="C434" s="23"/>
      <c r="D434" s="23" t="s">
        <v>693</v>
      </c>
      <c r="E434" s="13" t="str">
        <f>IF(ISBLANK(A434),"neu",IF(ISBLANK(C434),"weg",IF(A434&lt;&gt;C434,"geändert","")))</f>
        <v>weg</v>
      </c>
      <c r="F434" s="13"/>
      <c r="G434" s="13"/>
      <c r="H434"/>
      <c r="I434" s="7"/>
      <c r="J434" s="1"/>
      <c r="K434" s="1"/>
      <c r="L434" s="1"/>
      <c r="M434" s="1"/>
      <c r="N434" s="1"/>
      <c r="O434" s="1">
        <v>1</v>
      </c>
      <c r="P434" s="1"/>
      <c r="Q434" s="1"/>
      <c r="R434" s="74">
        <v>1</v>
      </c>
      <c r="S434" s="10"/>
      <c r="T434" s="10"/>
      <c r="U434" s="10"/>
      <c r="V434" s="10"/>
      <c r="W434" s="10"/>
      <c r="Y434" s="10"/>
      <c r="Z434" s="10"/>
      <c r="AA434" s="10"/>
      <c r="AB434" s="10"/>
      <c r="AC434" s="10"/>
      <c r="AD434" s="10"/>
      <c r="AE434" s="75"/>
      <c r="AF434" s="8"/>
      <c r="AG434" s="2" t="str">
        <f t="shared" si="26"/>
        <v/>
      </c>
      <c r="AH434" s="78" t="str">
        <f t="shared" si="27"/>
        <v/>
      </c>
    </row>
    <row r="435" spans="1:34" s="9" customFormat="1" x14ac:dyDescent="0.45">
      <c r="A435" s="13" t="s">
        <v>229</v>
      </c>
      <c r="C435" s="18" t="s">
        <v>353</v>
      </c>
      <c r="D435" s="18"/>
      <c r="E435" s="13" t="str">
        <f>IF(ISBLANK(A435),"neu",IF(ISBLANK(C435),"weg",IF(A435&lt;&gt;C435,"geändert","")))</f>
        <v>geändert</v>
      </c>
      <c r="F435" s="13"/>
      <c r="G435" s="13"/>
      <c r="H435" t="s">
        <v>11</v>
      </c>
      <c r="I435" s="7"/>
      <c r="J435" s="1">
        <v>1</v>
      </c>
      <c r="K435" s="1">
        <v>1</v>
      </c>
      <c r="L435" s="1"/>
      <c r="M435" s="1"/>
      <c r="N435" s="1"/>
      <c r="O435" s="1"/>
      <c r="P435" s="1"/>
      <c r="Q435" s="1">
        <v>1</v>
      </c>
      <c r="R435" s="74">
        <v>1</v>
      </c>
      <c r="S435" s="10"/>
      <c r="T435" s="10"/>
      <c r="U435" s="10"/>
      <c r="V435" s="10"/>
      <c r="W435" s="10"/>
      <c r="Y435" s="10"/>
      <c r="Z435" s="10"/>
      <c r="AA435" s="10"/>
      <c r="AB435" s="82">
        <v>1</v>
      </c>
      <c r="AC435" s="10"/>
      <c r="AD435" s="10"/>
      <c r="AE435" s="75"/>
      <c r="AF435" s="8"/>
      <c r="AG435" s="2">
        <f t="shared" si="26"/>
        <v>1</v>
      </c>
      <c r="AH435" s="78">
        <f t="shared" si="27"/>
        <v>10</v>
      </c>
    </row>
    <row r="436" spans="1:34" s="9" customFormat="1" x14ac:dyDescent="0.45">
      <c r="A436" s="32" t="s">
        <v>229</v>
      </c>
      <c r="B436" s="13"/>
      <c r="C436" s="16" t="s">
        <v>332</v>
      </c>
      <c r="D436" s="16"/>
      <c r="E436" s="13" t="str">
        <f>IF(ISBLANK(A436),"neu",IF(ISBLANK(C436),"weg",IF(A436&lt;&gt;C436,"geändert","")))</f>
        <v>geändert</v>
      </c>
      <c r="F436" s="13"/>
      <c r="G436" s="13"/>
      <c r="H436" t="s">
        <v>11</v>
      </c>
      <c r="I436" s="7"/>
      <c r="J436" s="1">
        <v>1</v>
      </c>
      <c r="K436" s="1">
        <v>1</v>
      </c>
      <c r="L436" s="1"/>
      <c r="M436" s="1"/>
      <c r="N436" s="1"/>
      <c r="O436" s="1"/>
      <c r="P436" s="1"/>
      <c r="Q436" s="1">
        <v>1</v>
      </c>
      <c r="R436" s="74">
        <v>1</v>
      </c>
      <c r="S436" s="10"/>
      <c r="T436" s="10"/>
      <c r="U436" s="10"/>
      <c r="V436" s="10"/>
      <c r="W436" s="10"/>
      <c r="Y436" s="10"/>
      <c r="Z436" s="10"/>
      <c r="AA436" s="10"/>
      <c r="AB436" s="82">
        <v>1</v>
      </c>
      <c r="AC436" s="10"/>
      <c r="AD436" s="10"/>
      <c r="AE436" s="75"/>
      <c r="AF436" s="8"/>
      <c r="AG436" s="2">
        <f t="shared" si="26"/>
        <v>1</v>
      </c>
      <c r="AH436" s="78">
        <f t="shared" si="27"/>
        <v>10</v>
      </c>
    </row>
    <row r="437" spans="1:34" s="9" customFormat="1" x14ac:dyDescent="0.45">
      <c r="A437" s="32" t="s">
        <v>229</v>
      </c>
      <c r="C437" s="16" t="s">
        <v>333</v>
      </c>
      <c r="D437" s="16"/>
      <c r="E437" s="13" t="str">
        <f>IF(ISBLANK(A437),"neu",IF(ISBLANK(C437),"weg",IF(A437&lt;&gt;C437,"geändert","")))</f>
        <v>geändert</v>
      </c>
      <c r="F437" s="13"/>
      <c r="G437" s="13"/>
      <c r="H437" t="s">
        <v>11</v>
      </c>
      <c r="I437" s="7"/>
      <c r="J437" s="1">
        <v>1</v>
      </c>
      <c r="K437" s="1">
        <v>1</v>
      </c>
      <c r="L437" s="1"/>
      <c r="M437" s="1"/>
      <c r="N437" s="1"/>
      <c r="O437" s="1"/>
      <c r="P437" s="1"/>
      <c r="Q437" s="1">
        <v>1</v>
      </c>
      <c r="R437" s="74">
        <v>1</v>
      </c>
      <c r="S437" s="10"/>
      <c r="T437" s="10"/>
      <c r="U437" s="10"/>
      <c r="V437" s="10"/>
      <c r="W437" s="10"/>
      <c r="Y437" s="10"/>
      <c r="Z437" s="10"/>
      <c r="AA437" s="10"/>
      <c r="AB437" s="82">
        <v>1</v>
      </c>
      <c r="AC437" s="10"/>
      <c r="AD437" s="10"/>
      <c r="AE437" s="75"/>
      <c r="AF437" s="8"/>
      <c r="AG437" s="2">
        <f t="shared" si="26"/>
        <v>1</v>
      </c>
      <c r="AH437" s="78">
        <f t="shared" si="27"/>
        <v>10</v>
      </c>
    </row>
    <row r="438" spans="1:34" s="9" customFormat="1" x14ac:dyDescent="0.45">
      <c r="A438" s="32" t="s">
        <v>229</v>
      </c>
      <c r="C438" s="16" t="s">
        <v>334</v>
      </c>
      <c r="D438" s="16"/>
      <c r="E438" s="13" t="str">
        <f>IF(ISBLANK(A438),"neu",IF(ISBLANK(C438),"weg",IF(A438&lt;&gt;C438,"geändert","")))</f>
        <v>geändert</v>
      </c>
      <c r="F438" s="13"/>
      <c r="G438" s="13"/>
      <c r="H438" t="s">
        <v>11</v>
      </c>
      <c r="I438" s="7"/>
      <c r="J438" s="1">
        <v>1</v>
      </c>
      <c r="K438" s="1">
        <v>1</v>
      </c>
      <c r="L438" s="1"/>
      <c r="M438" s="1"/>
      <c r="N438" s="1"/>
      <c r="O438" s="1"/>
      <c r="P438" s="1"/>
      <c r="Q438" s="1">
        <v>1</v>
      </c>
      <c r="R438" s="74">
        <v>1</v>
      </c>
      <c r="S438" s="10"/>
      <c r="T438" s="10"/>
      <c r="U438" s="10"/>
      <c r="V438" s="10"/>
      <c r="W438" s="10"/>
      <c r="Y438" s="10"/>
      <c r="Z438" s="10"/>
      <c r="AA438" s="10"/>
      <c r="AB438" s="82">
        <v>1</v>
      </c>
      <c r="AC438" s="10"/>
      <c r="AD438" s="10"/>
      <c r="AE438" s="75"/>
      <c r="AF438" s="8"/>
      <c r="AG438" s="2">
        <f t="shared" si="26"/>
        <v>1</v>
      </c>
      <c r="AH438" s="78">
        <f t="shared" si="27"/>
        <v>10</v>
      </c>
    </row>
    <row r="439" spans="1:34" s="9" customFormat="1" x14ac:dyDescent="0.45">
      <c r="A439" s="32" t="s">
        <v>229</v>
      </c>
      <c r="C439" s="16" t="s">
        <v>335</v>
      </c>
      <c r="D439" s="16"/>
      <c r="E439" s="13" t="str">
        <f>IF(ISBLANK(A439),"neu",IF(ISBLANK(C439),"weg",IF(A439&lt;&gt;C439,"geändert","")))</f>
        <v>geändert</v>
      </c>
      <c r="F439" s="13"/>
      <c r="G439" s="13"/>
      <c r="H439" t="s">
        <v>11</v>
      </c>
      <c r="I439" s="7"/>
      <c r="J439" s="1">
        <v>1</v>
      </c>
      <c r="K439" s="1">
        <v>1</v>
      </c>
      <c r="L439" s="1"/>
      <c r="M439" s="1"/>
      <c r="N439" s="1"/>
      <c r="O439" s="1"/>
      <c r="P439" s="1"/>
      <c r="Q439" s="1">
        <v>1</v>
      </c>
      <c r="R439" s="74">
        <v>1</v>
      </c>
      <c r="S439" s="10"/>
      <c r="T439" s="10"/>
      <c r="U439" s="10"/>
      <c r="V439" s="10"/>
      <c r="W439" s="10"/>
      <c r="Y439" s="10"/>
      <c r="Z439" s="10"/>
      <c r="AA439" s="10"/>
      <c r="AB439" s="82">
        <v>1</v>
      </c>
      <c r="AC439" s="10"/>
      <c r="AD439" s="10"/>
      <c r="AE439" s="75"/>
      <c r="AF439" s="8"/>
      <c r="AG439" s="2">
        <f t="shared" ref="AG439:AG451" si="28">IF(SUM(S439:AF439)&gt;0,SUM(S439:AF439),"")</f>
        <v>1</v>
      </c>
      <c r="AH439" s="78">
        <f t="shared" ref="AH439:AH451" si="29">IF(SUM(S439:AF439)&lt;1,"",S439*1+T439*2+U439*3+V439*4+W439*5+X439*6+Y439*7+Z439*8+AA439*9+AB439*10+AC439*11+AD439*12+AE439*13+AF439*14)</f>
        <v>10</v>
      </c>
    </row>
    <row r="440" spans="1:34" s="9" customFormat="1" x14ac:dyDescent="0.45">
      <c r="A440" s="32" t="s">
        <v>229</v>
      </c>
      <c r="B440" s="13"/>
      <c r="C440" s="16" t="s">
        <v>336</v>
      </c>
      <c r="D440" s="16"/>
      <c r="E440" s="13" t="str">
        <f>IF(ISBLANK(A440),"neu",IF(ISBLANK(C440),"weg",IF(A440&lt;&gt;C440,"geändert","")))</f>
        <v>geändert</v>
      </c>
      <c r="F440" s="13"/>
      <c r="G440" s="13"/>
      <c r="H440" t="s">
        <v>11</v>
      </c>
      <c r="I440" s="7"/>
      <c r="J440" s="1">
        <v>1</v>
      </c>
      <c r="K440" s="1">
        <v>1</v>
      </c>
      <c r="L440" s="1"/>
      <c r="M440" s="1"/>
      <c r="N440" s="1"/>
      <c r="O440" s="1"/>
      <c r="P440" s="1"/>
      <c r="Q440" s="1">
        <v>1</v>
      </c>
      <c r="R440" s="74">
        <v>1</v>
      </c>
      <c r="S440" s="10"/>
      <c r="T440" s="10"/>
      <c r="U440" s="10"/>
      <c r="V440" s="10"/>
      <c r="W440" s="10"/>
      <c r="Y440" s="10"/>
      <c r="Z440" s="10"/>
      <c r="AA440" s="10"/>
      <c r="AB440" s="82">
        <v>1</v>
      </c>
      <c r="AC440" s="10"/>
      <c r="AD440" s="10"/>
      <c r="AE440" s="75"/>
      <c r="AF440" s="8"/>
      <c r="AG440" s="2">
        <f t="shared" si="28"/>
        <v>1</v>
      </c>
      <c r="AH440" s="78">
        <f t="shared" si="29"/>
        <v>10</v>
      </c>
    </row>
    <row r="441" spans="1:34" s="9" customFormat="1" x14ac:dyDescent="0.45">
      <c r="A441" s="32" t="s">
        <v>229</v>
      </c>
      <c r="B441" s="13"/>
      <c r="C441" s="16" t="s">
        <v>337</v>
      </c>
      <c r="D441" s="16"/>
      <c r="E441" s="13" t="str">
        <f>IF(ISBLANK(A441),"neu",IF(ISBLANK(C441),"weg",IF(A441&lt;&gt;C441,"geändert","")))</f>
        <v>geändert</v>
      </c>
      <c r="F441" s="13"/>
      <c r="G441" s="13"/>
      <c r="H441" t="s">
        <v>11</v>
      </c>
      <c r="I441" s="7"/>
      <c r="J441" s="1">
        <v>1</v>
      </c>
      <c r="K441" s="1">
        <v>1</v>
      </c>
      <c r="L441" s="1"/>
      <c r="M441" s="1"/>
      <c r="N441" s="1"/>
      <c r="O441" s="1"/>
      <c r="P441" s="1"/>
      <c r="Q441" s="1">
        <v>1</v>
      </c>
      <c r="R441" s="74">
        <v>1</v>
      </c>
      <c r="S441" s="10"/>
      <c r="T441" s="10"/>
      <c r="U441" s="10"/>
      <c r="V441" s="10"/>
      <c r="W441" s="10"/>
      <c r="Y441" s="10"/>
      <c r="Z441" s="10"/>
      <c r="AA441" s="10"/>
      <c r="AB441" s="82">
        <v>1</v>
      </c>
      <c r="AC441" s="10"/>
      <c r="AD441" s="10"/>
      <c r="AE441" s="75"/>
      <c r="AF441" s="8"/>
      <c r="AG441" s="2">
        <f t="shared" si="28"/>
        <v>1</v>
      </c>
      <c r="AH441" s="78">
        <f t="shared" si="29"/>
        <v>10</v>
      </c>
    </row>
    <row r="442" spans="1:34" s="9" customFormat="1" x14ac:dyDescent="0.45">
      <c r="A442" s="32" t="s">
        <v>229</v>
      </c>
      <c r="B442" s="13"/>
      <c r="C442" s="16" t="s">
        <v>338</v>
      </c>
      <c r="D442" s="16"/>
      <c r="E442" s="13" t="str">
        <f>IF(ISBLANK(A442),"neu",IF(ISBLANK(C442),"weg",IF(A442&lt;&gt;C442,"geändert","")))</f>
        <v>geändert</v>
      </c>
      <c r="F442" s="13"/>
      <c r="G442" s="13"/>
      <c r="H442" t="s">
        <v>11</v>
      </c>
      <c r="I442" s="7"/>
      <c r="J442" s="1">
        <v>1</v>
      </c>
      <c r="K442" s="1">
        <v>1</v>
      </c>
      <c r="L442" s="1"/>
      <c r="M442" s="1"/>
      <c r="N442" s="1"/>
      <c r="O442" s="1"/>
      <c r="P442" s="1"/>
      <c r="Q442" s="1">
        <v>1</v>
      </c>
      <c r="R442" s="74">
        <v>1</v>
      </c>
      <c r="S442" s="10"/>
      <c r="T442" s="10"/>
      <c r="U442" s="10"/>
      <c r="V442" s="10"/>
      <c r="W442" s="10"/>
      <c r="Y442" s="10"/>
      <c r="Z442" s="10"/>
      <c r="AA442" s="10"/>
      <c r="AB442" s="82">
        <v>1</v>
      </c>
      <c r="AC442" s="10"/>
      <c r="AD442" s="10"/>
      <c r="AE442" s="75"/>
      <c r="AF442" s="8"/>
      <c r="AG442" s="2">
        <f t="shared" si="28"/>
        <v>1</v>
      </c>
      <c r="AH442" s="78">
        <f t="shared" si="29"/>
        <v>10</v>
      </c>
    </row>
    <row r="443" spans="1:34" s="9" customFormat="1" x14ac:dyDescent="0.45">
      <c r="A443" s="32" t="s">
        <v>229</v>
      </c>
      <c r="B443" s="13"/>
      <c r="C443" s="16" t="s">
        <v>339</v>
      </c>
      <c r="D443" s="16"/>
      <c r="E443" s="13" t="str">
        <f>IF(ISBLANK(A443),"neu",IF(ISBLANK(C443),"weg",IF(A443&lt;&gt;C443,"geändert","")))</f>
        <v>geändert</v>
      </c>
      <c r="F443" s="13"/>
      <c r="G443" s="13"/>
      <c r="H443" t="s">
        <v>11</v>
      </c>
      <c r="I443" s="7"/>
      <c r="J443" s="1">
        <v>1</v>
      </c>
      <c r="K443" s="1">
        <v>1</v>
      </c>
      <c r="L443" s="1"/>
      <c r="M443" s="1"/>
      <c r="N443" s="1"/>
      <c r="O443" s="1"/>
      <c r="P443" s="1"/>
      <c r="Q443" s="1">
        <v>1</v>
      </c>
      <c r="R443" s="74">
        <v>1</v>
      </c>
      <c r="S443" s="10"/>
      <c r="T443" s="10"/>
      <c r="U443" s="10"/>
      <c r="V443" s="10"/>
      <c r="W443" s="10"/>
      <c r="Y443" s="10"/>
      <c r="Z443" s="10"/>
      <c r="AA443" s="10"/>
      <c r="AB443" s="82">
        <v>1</v>
      </c>
      <c r="AC443" s="10"/>
      <c r="AD443" s="10"/>
      <c r="AE443" s="75"/>
      <c r="AF443" s="8"/>
      <c r="AG443" s="2">
        <f t="shared" si="28"/>
        <v>1</v>
      </c>
      <c r="AH443" s="78">
        <f t="shared" si="29"/>
        <v>10</v>
      </c>
    </row>
    <row r="444" spans="1:34" s="9" customFormat="1" x14ac:dyDescent="0.45">
      <c r="A444" s="13" t="s">
        <v>230</v>
      </c>
      <c r="B444" s="13"/>
      <c r="C444" s="21"/>
      <c r="D444" s="21" t="s">
        <v>354</v>
      </c>
      <c r="E444" s="13" t="str">
        <f>IF(ISBLANK(A444),"neu",IF(ISBLANK(C444),"weg",IF(A444&lt;&gt;C444,"geändert","")))</f>
        <v>weg</v>
      </c>
      <c r="F444" s="13"/>
      <c r="G444" s="13"/>
      <c r="H444"/>
      <c r="I444" s="7"/>
      <c r="J444" s="1"/>
      <c r="K444" s="1"/>
      <c r="L444" s="1"/>
      <c r="M444" s="1"/>
      <c r="N444" s="1"/>
      <c r="O444" s="1"/>
      <c r="P444" s="1"/>
      <c r="Q444" s="1"/>
      <c r="R444" s="74" t="s">
        <v>731</v>
      </c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75"/>
      <c r="AF444" s="8"/>
      <c r="AG444" s="2" t="str">
        <f t="shared" si="28"/>
        <v/>
      </c>
      <c r="AH444" s="78" t="str">
        <f t="shared" si="29"/>
        <v/>
      </c>
    </row>
    <row r="445" spans="1:34" x14ac:dyDescent="0.45">
      <c r="A445" s="13"/>
      <c r="C445" s="33" t="s">
        <v>355</v>
      </c>
      <c r="D445" s="13" t="s">
        <v>440</v>
      </c>
      <c r="E445" s="13" t="str">
        <f>IF(ISBLANK(A445),"neu",IF(ISBLANK(C445),"weg",IF(A445&lt;&gt;C445,"geändert","")))</f>
        <v>neu</v>
      </c>
      <c r="I445" s="7"/>
      <c r="M445" s="1">
        <v>1</v>
      </c>
      <c r="R445" s="74">
        <v>1</v>
      </c>
      <c r="AE445" s="75"/>
      <c r="AF445" s="8"/>
      <c r="AG445" s="2" t="str">
        <f t="shared" si="28"/>
        <v/>
      </c>
      <c r="AH445" s="78" t="str">
        <f t="shared" si="29"/>
        <v/>
      </c>
    </row>
    <row r="446" spans="1:34" x14ac:dyDescent="0.45">
      <c r="A446" s="11"/>
      <c r="C446" s="33" t="s">
        <v>356</v>
      </c>
      <c r="D446" s="13" t="s">
        <v>439</v>
      </c>
      <c r="E446" s="13" t="str">
        <f>IF(ISBLANK(A446),"neu",IF(ISBLANK(C446),"weg",IF(A446&lt;&gt;C446,"geändert","")))</f>
        <v>neu</v>
      </c>
      <c r="H446" t="s">
        <v>11</v>
      </c>
      <c r="I446" s="7"/>
      <c r="J446" s="126">
        <v>1</v>
      </c>
      <c r="K446" s="126">
        <v>1</v>
      </c>
      <c r="M446" s="1">
        <v>1</v>
      </c>
      <c r="R446" s="74">
        <v>1</v>
      </c>
      <c r="AE446" s="75"/>
      <c r="AF446" s="8"/>
      <c r="AG446" s="2" t="str">
        <f t="shared" si="28"/>
        <v/>
      </c>
      <c r="AH446" s="78" t="str">
        <f t="shared" si="29"/>
        <v/>
      </c>
    </row>
    <row r="447" spans="1:34" x14ac:dyDescent="0.45">
      <c r="A447" t="s">
        <v>16</v>
      </c>
      <c r="B447" s="13" t="s">
        <v>16</v>
      </c>
      <c r="C447" t="s">
        <v>16</v>
      </c>
      <c r="E447" s="13" t="str">
        <f>IF(ISBLANK(A447),"neu",IF(ISBLANK(C447),"weg",IF(A447&lt;&gt;C447,"geändert","")))</f>
        <v/>
      </c>
      <c r="F447" s="13" t="s">
        <v>16</v>
      </c>
      <c r="H447" t="s">
        <v>17</v>
      </c>
      <c r="I447" s="7"/>
      <c r="J447" s="1">
        <v>1</v>
      </c>
      <c r="R447" s="74">
        <v>1</v>
      </c>
      <c r="AB447" s="2"/>
      <c r="AC447" s="2"/>
      <c r="AD447" s="2"/>
      <c r="AE447" s="75"/>
      <c r="AF447" s="91">
        <v>1</v>
      </c>
      <c r="AG447" s="2">
        <f t="shared" si="28"/>
        <v>1</v>
      </c>
      <c r="AH447" s="78">
        <f t="shared" si="29"/>
        <v>14</v>
      </c>
    </row>
    <row r="448" spans="1:34" x14ac:dyDescent="0.45">
      <c r="A448" t="s">
        <v>18</v>
      </c>
      <c r="B448" s="13" t="s">
        <v>18</v>
      </c>
      <c r="C448" t="s">
        <v>18</v>
      </c>
      <c r="E448" s="13" t="str">
        <f>IF(ISBLANK(A448),"neu",IF(ISBLANK(C448),"weg",IF(A448&lt;&gt;C448,"geändert","")))</f>
        <v/>
      </c>
      <c r="F448" s="13" t="s">
        <v>18</v>
      </c>
      <c r="H448" t="s">
        <v>17</v>
      </c>
      <c r="I448" s="7"/>
      <c r="J448" s="1">
        <v>1</v>
      </c>
      <c r="R448" s="74">
        <v>1</v>
      </c>
      <c r="AB448" s="2"/>
      <c r="AC448" s="2"/>
      <c r="AD448" s="2"/>
      <c r="AE448" s="75"/>
      <c r="AF448" s="91">
        <v>1</v>
      </c>
      <c r="AG448" s="2">
        <f t="shared" si="28"/>
        <v>1</v>
      </c>
      <c r="AH448" s="78">
        <f t="shared" si="29"/>
        <v>14</v>
      </c>
    </row>
    <row r="449" spans="1:34" x14ac:dyDescent="0.45">
      <c r="A449" t="s">
        <v>19</v>
      </c>
      <c r="B449" s="13" t="s">
        <v>19</v>
      </c>
      <c r="C449" t="s">
        <v>19</v>
      </c>
      <c r="E449" s="13" t="str">
        <f>IF(ISBLANK(A449),"neu",IF(ISBLANK(C449),"weg",IF(A449&lt;&gt;C449,"geändert","")))</f>
        <v/>
      </c>
      <c r="F449" s="13" t="s">
        <v>19</v>
      </c>
      <c r="H449" t="s">
        <v>17</v>
      </c>
      <c r="I449" s="7"/>
      <c r="J449" s="1">
        <v>1</v>
      </c>
      <c r="R449" s="74">
        <v>1</v>
      </c>
      <c r="AB449" s="2"/>
      <c r="AC449" s="2"/>
      <c r="AD449" s="2"/>
      <c r="AE449" s="75"/>
      <c r="AF449" s="91">
        <v>1</v>
      </c>
      <c r="AG449" s="2">
        <f t="shared" si="28"/>
        <v>1</v>
      </c>
      <c r="AH449" s="78">
        <f t="shared" si="29"/>
        <v>14</v>
      </c>
    </row>
    <row r="450" spans="1:34" x14ac:dyDescent="0.45">
      <c r="A450" t="s">
        <v>20</v>
      </c>
      <c r="B450" s="13" t="s">
        <v>20</v>
      </c>
      <c r="C450" t="s">
        <v>20</v>
      </c>
      <c r="E450" s="13" t="str">
        <f>IF(ISBLANK(A450),"neu",IF(ISBLANK(C450),"weg",IF(A450&lt;&gt;C450,"geändert","")))</f>
        <v/>
      </c>
      <c r="F450" s="13" t="s">
        <v>20</v>
      </c>
      <c r="H450" t="s">
        <v>17</v>
      </c>
      <c r="I450" s="7"/>
      <c r="R450" s="74" t="s">
        <v>731</v>
      </c>
      <c r="AB450" s="2"/>
      <c r="AC450" s="2"/>
      <c r="AD450" s="2"/>
      <c r="AE450" s="75"/>
      <c r="AF450" s="91">
        <v>1</v>
      </c>
      <c r="AG450" s="2">
        <f t="shared" si="28"/>
        <v>1</v>
      </c>
      <c r="AH450" s="78">
        <f t="shared" si="29"/>
        <v>14</v>
      </c>
    </row>
    <row r="451" spans="1:34" ht="14.65" thickBot="1" x14ac:dyDescent="0.5">
      <c r="A451" s="101" t="s">
        <v>21</v>
      </c>
      <c r="B451" s="102" t="s">
        <v>21</v>
      </c>
      <c r="C451" s="101" t="s">
        <v>21</v>
      </c>
      <c r="D451" s="101"/>
      <c r="E451" s="102" t="str">
        <f>IF(ISBLANK(A451),"neu",IF(ISBLANK(C451),"weg",IF(A451&lt;&gt;C451,"geändert","")))</f>
        <v/>
      </c>
      <c r="F451" s="102" t="s">
        <v>21</v>
      </c>
      <c r="G451" s="102"/>
      <c r="H451" s="101" t="s">
        <v>12</v>
      </c>
      <c r="I451" s="103"/>
      <c r="J451" s="127">
        <v>1</v>
      </c>
      <c r="K451" s="104"/>
      <c r="L451" s="104"/>
      <c r="M451" s="104"/>
      <c r="N451" s="104"/>
      <c r="O451" s="104"/>
      <c r="P451" s="104"/>
      <c r="Q451" s="104"/>
      <c r="R451" s="128">
        <v>1</v>
      </c>
      <c r="S451" s="104"/>
      <c r="T451" s="104"/>
      <c r="U451" s="104"/>
      <c r="V451" s="104"/>
      <c r="W451" s="104"/>
      <c r="X451" s="104"/>
      <c r="Y451" s="104"/>
      <c r="Z451" s="104"/>
      <c r="AA451" s="104"/>
      <c r="AB451" s="105"/>
      <c r="AC451" s="105"/>
      <c r="AD451" s="105"/>
      <c r="AE451" s="106"/>
      <c r="AF451" s="107"/>
      <c r="AG451" s="105" t="str">
        <f t="shared" si="28"/>
        <v/>
      </c>
      <c r="AH451" s="108" t="str">
        <f t="shared" si="29"/>
        <v/>
      </c>
    </row>
    <row r="452" spans="1:34" ht="14.65" thickTop="1" x14ac:dyDescent="0.45">
      <c r="A452" s="94" t="s">
        <v>727</v>
      </c>
      <c r="B452" s="13" t="s">
        <v>22</v>
      </c>
      <c r="C452" s="94" t="s">
        <v>13</v>
      </c>
      <c r="D452" s="94" t="s">
        <v>54</v>
      </c>
      <c r="H452" s="1">
        <f>COUNTIF($H$2:$H$451,$C452)</f>
        <v>91</v>
      </c>
      <c r="I452" s="1">
        <f>COUNTIF($I$2:$I$451,$D452)</f>
        <v>24</v>
      </c>
      <c r="J452" s="95">
        <f>SUMIFS(J$2:J$451,$H$2:$H$451,$C452)</f>
        <v>61</v>
      </c>
      <c r="K452" s="1">
        <f>SUMIFS(K$2:K$451,$H$2:$H$451,$C452)</f>
        <v>60</v>
      </c>
      <c r="L452" s="1">
        <f>SUMIFS(L$2:L$451,$H$2:$H$451,$C452)</f>
        <v>73</v>
      </c>
      <c r="M452" s="1">
        <f>SUMIFS(M$2:M$451,$H$2:$H$451,$C452)</f>
        <v>26</v>
      </c>
      <c r="N452" s="1">
        <f>SUMIFS(N$2:N$451,$H$2:$H$451,$C452)</f>
        <v>73</v>
      </c>
      <c r="O452" s="1">
        <f>SUMIFS(O$2:O$451,$H$2:$H$451,$C452)</f>
        <v>73</v>
      </c>
      <c r="P452" s="1">
        <f>SUMIFS(P$2:P$451,$H$2:$H$451,$C452)</f>
        <v>73</v>
      </c>
      <c r="Q452" s="1">
        <f>SUMIFS(Q$2:Q$451,$H$2:$H$451,$C452)</f>
        <v>3</v>
      </c>
      <c r="R452" s="74">
        <f>SUMIFS(R$2:R$451,$H$2:$H$451,$C452)</f>
        <v>91</v>
      </c>
      <c r="S452" s="1">
        <f>SUMIFS(S$2:S$451,$H$2:$H$451,$C452)</f>
        <v>18</v>
      </c>
      <c r="T452" s="1">
        <f>SUMIFS(T$2:T$451,$H$2:$H$451,$C452)</f>
        <v>10</v>
      </c>
      <c r="U452" s="1">
        <f>SUMIFS(U$2:U$451,$H$2:$H$451,$C452)</f>
        <v>19</v>
      </c>
      <c r="V452" s="1">
        <f>SUMIFS(V$2:V$451,$H$2:$H$451,$C452)</f>
        <v>3</v>
      </c>
      <c r="W452" s="1">
        <f>SUMIFS(W$2:W$451,$H$2:$H$451,$C452)</f>
        <v>9</v>
      </c>
      <c r="X452" s="1">
        <f>SUMIFS(X$2:X$451,$H$2:$H$451,$C452)</f>
        <v>3</v>
      </c>
      <c r="Y452" s="1">
        <f>SUMIFS(Y$2:Y$451,$H$2:$H$451,$C452)</f>
        <v>12</v>
      </c>
      <c r="Z452" s="1">
        <f>SUMIFS(Z$2:Z$451,$H$2:$H$451,$C452)</f>
        <v>8</v>
      </c>
      <c r="AA452" s="1">
        <f>SUMIFS(AA$2:AA$451,$H$2:$H$451,$C452)</f>
        <v>9</v>
      </c>
      <c r="AB452" s="1">
        <f>SUMIFS(AB$2:AB$451,$H$2:$H$451,$C452)</f>
        <v>0</v>
      </c>
      <c r="AC452" s="1">
        <f>SUMIFS(AC$2:AC$451,$H$2:$H$451,$C452)</f>
        <v>0</v>
      </c>
      <c r="AD452" s="1">
        <f>SUMIFS(AD$2:AD$451,$H$2:$H$451,$C452)</f>
        <v>0</v>
      </c>
      <c r="AE452" s="1">
        <f>SUMIFS(AE$2:AE$451,$H$2:$H$451,$C452)</f>
        <v>0</v>
      </c>
      <c r="AF452" s="74">
        <f>SUMIFS(AF$2:AF$451,$H$2:$H$451,$C452)</f>
        <v>0</v>
      </c>
      <c r="AG452" s="2">
        <f t="shared" ref="AG452:AG459" si="30">SUM(S452:AF452)</f>
        <v>91</v>
      </c>
      <c r="AH452" s="78"/>
    </row>
    <row r="453" spans="1:34" x14ac:dyDescent="0.45">
      <c r="A453" s="94" t="s">
        <v>727</v>
      </c>
      <c r="B453" s="13" t="s">
        <v>23</v>
      </c>
      <c r="C453" s="94" t="s">
        <v>14</v>
      </c>
      <c r="D453" s="94" t="s">
        <v>53</v>
      </c>
      <c r="H453" s="1">
        <f>COUNTIF($H$2:$H$451,$C453)</f>
        <v>68</v>
      </c>
      <c r="I453" s="1">
        <f>COUNTIF($I$2:$I$451,$D453)</f>
        <v>27</v>
      </c>
      <c r="J453" s="95">
        <f>SUMIFS(J$2:J$451,$H$2:$H$451,$C453)</f>
        <v>47</v>
      </c>
      <c r="K453" s="1">
        <f>SUMIFS(K$2:K$451,$H$2:$H$451,$C453)</f>
        <v>43</v>
      </c>
      <c r="L453" s="1">
        <f>SUMIFS(L$2:L$451,$H$2:$H$451,$C453)</f>
        <v>63</v>
      </c>
      <c r="M453" s="1">
        <f>SUMIFS(M$2:M$451,$H$2:$H$451,$C453)</f>
        <v>20</v>
      </c>
      <c r="N453" s="1">
        <f>SUMIFS(N$2:N$451,$H$2:$H$451,$C453)</f>
        <v>58</v>
      </c>
      <c r="O453" s="1">
        <f>SUMIFS(O$2:O$451,$H$2:$H$451,$C453)</f>
        <v>58</v>
      </c>
      <c r="P453" s="1">
        <f>SUMIFS(P$2:P$451,$H$2:$H$451,$C453)</f>
        <v>58</v>
      </c>
      <c r="Q453" s="1">
        <f>SUMIFS(Q$2:Q$451,$H$2:$H$451,$C453)</f>
        <v>3</v>
      </c>
      <c r="R453" s="74">
        <f>SUMIFS(R$2:R$451,$H$2:$H$451,$C453)</f>
        <v>68</v>
      </c>
      <c r="S453" s="1">
        <f>SUMIFS(S$2:S$451,$H$2:$H$451,$C453)</f>
        <v>5</v>
      </c>
      <c r="T453" s="1">
        <f>SUMIFS(T$2:T$451,$H$2:$H$451,$C453)</f>
        <v>12</v>
      </c>
      <c r="U453" s="1">
        <f>SUMIFS(U$2:U$451,$H$2:$H$451,$C453)</f>
        <v>6</v>
      </c>
      <c r="V453" s="1">
        <f>SUMIFS(V$2:V$451,$H$2:$H$451,$C453)</f>
        <v>0</v>
      </c>
      <c r="W453" s="1">
        <f>SUMIFS(W$2:W$451,$H$2:$H$451,$C453)</f>
        <v>6</v>
      </c>
      <c r="X453" s="1">
        <f>SUMIFS(X$2:X$451,$H$2:$H$451,$C453)</f>
        <v>18</v>
      </c>
      <c r="Y453" s="1">
        <f>SUMIFS(Y$2:Y$451,$H$2:$H$451,$C453)</f>
        <v>0</v>
      </c>
      <c r="Z453" s="1">
        <f>SUMIFS(Z$2:Z$451,$H$2:$H$451,$C453)</f>
        <v>12</v>
      </c>
      <c r="AA453" s="1">
        <f>SUMIFS(AA$2:AA$451,$H$2:$H$451,$C453)</f>
        <v>9</v>
      </c>
      <c r="AB453" s="1">
        <f>SUMIFS(AB$2:AB$451,$H$2:$H$451,$C453)</f>
        <v>0</v>
      </c>
      <c r="AC453" s="1">
        <f>SUMIFS(AC$2:AC$451,$H$2:$H$451,$C453)</f>
        <v>0</v>
      </c>
      <c r="AD453" s="1">
        <f>SUMIFS(AD$2:AD$451,$H$2:$H$451,$C453)</f>
        <v>0</v>
      </c>
      <c r="AE453" s="1">
        <f>SUMIFS(AE$2:AE$451,$H$2:$H$451,$C453)</f>
        <v>0</v>
      </c>
      <c r="AF453" s="74">
        <f>SUMIFS(AF$2:AF$451,$H$2:$H$451,$C453)</f>
        <v>0</v>
      </c>
      <c r="AG453" s="2">
        <f t="shared" si="30"/>
        <v>68</v>
      </c>
      <c r="AH453" s="78"/>
    </row>
    <row r="454" spans="1:34" s="9" customFormat="1" x14ac:dyDescent="0.45">
      <c r="A454" s="47" t="s">
        <v>727</v>
      </c>
      <c r="B454" s="13" t="s">
        <v>24</v>
      </c>
      <c r="C454" s="47" t="s">
        <v>15</v>
      </c>
      <c r="F454" s="13"/>
      <c r="G454" s="13"/>
      <c r="H454" s="85">
        <f>COUNTIF($H$2:$H$451,$C454)</f>
        <v>93</v>
      </c>
      <c r="I454" s="96"/>
      <c r="J454" s="97">
        <f>SUMIFS(J$2:J$451,$H$2:$H$451,$C454)</f>
        <v>61</v>
      </c>
      <c r="K454" s="85">
        <f>SUMIFS(K$2:K$451,$H$2:$H$451,$C454)</f>
        <v>50</v>
      </c>
      <c r="L454" s="85">
        <f>SUMIFS(L$2:L$451,$H$2:$H$451,$C454)</f>
        <v>75</v>
      </c>
      <c r="M454" s="85">
        <f>SUMIFS(M$2:M$451,$H$2:$H$451,$C454)</f>
        <v>31</v>
      </c>
      <c r="N454" s="85">
        <f>SUMIFS(N$2:N$451,$H$2:$H$451,$C454)</f>
        <v>75</v>
      </c>
      <c r="O454" s="85">
        <f>SUMIFS(O$2:O$451,$H$2:$H$451,$C454)</f>
        <v>75</v>
      </c>
      <c r="P454" s="85">
        <f>SUMIFS(P$2:P$451,$H$2:$H$451,$C454)</f>
        <v>75</v>
      </c>
      <c r="Q454" s="85">
        <f>SUMIFS(Q$2:Q$451,$H$2:$H$451,$C454)</f>
        <v>0</v>
      </c>
      <c r="R454" s="98">
        <f>SUMIFS(R$2:R$451,$H$2:$H$451,$C454)</f>
        <v>93</v>
      </c>
      <c r="S454" s="85">
        <f>SUMIFS(S$2:S$451,$H$2:$H$451,$C454)</f>
        <v>4</v>
      </c>
      <c r="T454" s="85">
        <f>SUMIFS(T$2:T$451,$H$2:$H$451,$C454)</f>
        <v>9</v>
      </c>
      <c r="U454" s="85">
        <f>SUMIFS(U$2:U$451,$H$2:$H$451,$C454)</f>
        <v>12</v>
      </c>
      <c r="V454" s="85">
        <f>SUMIFS(V$2:V$451,$H$2:$H$451,$C454)</f>
        <v>0</v>
      </c>
      <c r="W454" s="85">
        <f>SUMIFS(W$2:W$451,$H$2:$H$451,$C454)</f>
        <v>15</v>
      </c>
      <c r="X454" s="85">
        <f>SUMIFS(X$2:X$451,$H$2:$H$451,$C454)</f>
        <v>17</v>
      </c>
      <c r="Y454" s="85">
        <f>SUMIFS(Y$2:Y$451,$H$2:$H$451,$C454)</f>
        <v>15</v>
      </c>
      <c r="Z454" s="85">
        <f>SUMIFS(Z$2:Z$451,$H$2:$H$451,$C454)</f>
        <v>15</v>
      </c>
      <c r="AA454" s="85">
        <f>SUMIFS(AA$2:AA$451,$H$2:$H$451,$C454)</f>
        <v>6</v>
      </c>
      <c r="AB454" s="85">
        <f>SUMIFS(AB$2:AB$451,$H$2:$H$451,$C454)</f>
        <v>0</v>
      </c>
      <c r="AC454" s="85">
        <f>SUMIFS(AC$2:AC$451,$H$2:$H$451,$C454)</f>
        <v>0</v>
      </c>
      <c r="AD454" s="85">
        <f>SUMIFS(AD$2:AD$451,$H$2:$H$451,$C454)</f>
        <v>0</v>
      </c>
      <c r="AE454" s="85">
        <f>SUMIFS(AE$2:AE$451,$H$2:$H$451,$C454)</f>
        <v>0</v>
      </c>
      <c r="AF454" s="98">
        <f>SUMIFS(AF$2:AF$451,$H$2:$H$451,$C454)</f>
        <v>0</v>
      </c>
      <c r="AG454" s="85">
        <f t="shared" si="30"/>
        <v>93</v>
      </c>
      <c r="AH454" s="78"/>
    </row>
    <row r="455" spans="1:34" s="11" customFormat="1" x14ac:dyDescent="0.45">
      <c r="A455" s="13" t="s">
        <v>727</v>
      </c>
      <c r="B455" s="13" t="s">
        <v>25</v>
      </c>
      <c r="C455" s="13" t="s">
        <v>11</v>
      </c>
      <c r="F455" s="13"/>
      <c r="G455" s="13"/>
      <c r="H455" s="1">
        <f>COUNTIF($H$2:$H$451,$C455)</f>
        <v>145</v>
      </c>
      <c r="I455" s="78"/>
      <c r="J455" s="95">
        <f>SUMIFS(J$2:J$451,$H$2:$H$451,$C455)</f>
        <v>75</v>
      </c>
      <c r="K455" s="1">
        <f>SUMIFS(K$2:K$451,$H$2:$H$451,$C455)</f>
        <v>115</v>
      </c>
      <c r="L455" s="1">
        <f>SUMIFS(L$2:L$451,$H$2:$H$451,$C455)</f>
        <v>105</v>
      </c>
      <c r="M455" s="1">
        <f>SUMIFS(M$2:M$451,$H$2:$H$451,$C455)</f>
        <v>70</v>
      </c>
      <c r="N455" s="1">
        <f>SUMIFS(N$2:N$451,$H$2:$H$451,$C455)</f>
        <v>103</v>
      </c>
      <c r="O455" s="1">
        <f>SUMIFS(O$2:O$451,$H$2:$H$451,$C455)</f>
        <v>117</v>
      </c>
      <c r="P455" s="1">
        <f>SUMIFS(P$2:P$451,$H$2:$H$451,$C455)</f>
        <v>106</v>
      </c>
      <c r="Q455" s="1">
        <f>SUMIFS(Q$2:Q$451,$H$2:$H$451,$C455)</f>
        <v>26</v>
      </c>
      <c r="R455" s="74">
        <f>SUMIFS(R$2:R$451,$H$2:$H$451,$C455)</f>
        <v>145</v>
      </c>
      <c r="S455" s="1">
        <f>SUMIFS(S$2:S$451,$H$2:$H$451,$C455)</f>
        <v>2</v>
      </c>
      <c r="T455" s="1">
        <f>SUMIFS(T$2:T$451,$H$2:$H$451,$C455)</f>
        <v>1</v>
      </c>
      <c r="U455" s="1">
        <f>SUMIFS(U$2:U$451,$H$2:$H$451,$C455)</f>
        <v>9</v>
      </c>
      <c r="V455" s="1">
        <f>SUMIFS(V$2:V$451,$H$2:$H$451,$C455)</f>
        <v>14</v>
      </c>
      <c r="W455" s="1">
        <f>SUMIFS(W$2:W$451,$H$2:$H$451,$C455)</f>
        <v>11</v>
      </c>
      <c r="X455" s="1">
        <f>SUMIFS(X$2:X$451,$H$2:$H$451,$C455)</f>
        <v>3</v>
      </c>
      <c r="Y455" s="1">
        <f>SUMIFS(Y$2:Y$451,$H$2:$H$451,$C455)</f>
        <v>1</v>
      </c>
      <c r="Z455" s="1">
        <f>SUMIFS(Z$2:Z$451,$H$2:$H$451,$C455)</f>
        <v>1</v>
      </c>
      <c r="AA455" s="1">
        <f>SUMIFS(AA$2:AA$451,$H$2:$H$451,$C455)</f>
        <v>3</v>
      </c>
      <c r="AB455" s="1">
        <f>SUMIFS(AB$2:AB$451,$H$2:$H$451,$C455)</f>
        <v>45</v>
      </c>
      <c r="AC455" s="1">
        <f>SUMIFS(AC$2:AC$451,$H$2:$H$451,$C455)</f>
        <v>10</v>
      </c>
      <c r="AD455" s="1">
        <f>SUMIFS(AD$2:AD$451,$H$2:$H$451,$C455)</f>
        <v>22</v>
      </c>
      <c r="AE455" s="1">
        <f>SUMIFS(AE$2:AE$451,$H$2:$H$451,$C455)</f>
        <v>16</v>
      </c>
      <c r="AF455" s="74">
        <f>SUMIFS(AF$2:AF$451,$H$2:$H$451,$C455)</f>
        <v>3</v>
      </c>
      <c r="AG455" s="2">
        <f t="shared" si="30"/>
        <v>141</v>
      </c>
      <c r="AH455" s="78"/>
    </row>
    <row r="456" spans="1:34" s="9" customFormat="1" x14ac:dyDescent="0.45">
      <c r="A456" s="47" t="s">
        <v>727</v>
      </c>
      <c r="B456" s="13" t="s">
        <v>26</v>
      </c>
      <c r="C456" s="47" t="s">
        <v>12</v>
      </c>
      <c r="F456" s="13"/>
      <c r="G456" s="13"/>
      <c r="H456" s="1">
        <f>COUNTIF($H$2:$H$451,$C456)</f>
        <v>7</v>
      </c>
      <c r="I456" s="96"/>
      <c r="J456" s="95">
        <f>SUMIFS(J$2:J$451,$H$2:$H$451,$C456)</f>
        <v>6</v>
      </c>
      <c r="K456" s="1">
        <f>SUMIFS(K$2:K$451,$H$2:$H$451,$C456)</f>
        <v>4</v>
      </c>
      <c r="L456" s="1">
        <f>SUMIFS(L$2:L$451,$H$2:$H$451,$C456)</f>
        <v>3</v>
      </c>
      <c r="M456" s="1">
        <f>SUMIFS(M$2:M$451,$H$2:$H$451,$C456)</f>
        <v>0</v>
      </c>
      <c r="N456" s="1">
        <f>SUMIFS(N$2:N$451,$H$2:$H$451,$C456)</f>
        <v>3</v>
      </c>
      <c r="O456" s="1">
        <f>SUMIFS(O$2:O$451,$H$2:$H$451,$C456)</f>
        <v>4</v>
      </c>
      <c r="P456" s="1">
        <f>SUMIFS(P$2:P$451,$H$2:$H$451,$C456)</f>
        <v>3</v>
      </c>
      <c r="Q456" s="1">
        <f>SUMIFS(Q$2:Q$451,$H$2:$H$451,$C456)</f>
        <v>1</v>
      </c>
      <c r="R456" s="74">
        <f>SUMIFS(R$2:R$451,$H$2:$H$451,$C456)</f>
        <v>7</v>
      </c>
      <c r="S456" s="85">
        <f>SUMIFS(S$2:S$451,$H$2:$H$451,$C456)</f>
        <v>0</v>
      </c>
      <c r="T456" s="85">
        <f>SUMIFS(T$2:T$451,$H$2:$H$451,$C456)</f>
        <v>0</v>
      </c>
      <c r="U456" s="85">
        <f>SUMIFS(U$2:U$451,$H$2:$H$451,$C456)</f>
        <v>0</v>
      </c>
      <c r="V456" s="85">
        <f>SUMIFS(V$2:V$451,$H$2:$H$451,$C456)</f>
        <v>0</v>
      </c>
      <c r="W456" s="85">
        <f>SUMIFS(W$2:W$451,$H$2:$H$451,$C456)</f>
        <v>2</v>
      </c>
      <c r="X456" s="85">
        <f>SUMIFS(X$2:X$451,$H$2:$H$451,$C456)</f>
        <v>0</v>
      </c>
      <c r="Y456" s="85">
        <f>SUMIFS(Y$2:Y$451,$H$2:$H$451,$C456)</f>
        <v>0</v>
      </c>
      <c r="Z456" s="85">
        <f>SUMIFS(Z$2:Z$451,$H$2:$H$451,$C456)</f>
        <v>0</v>
      </c>
      <c r="AA456" s="85">
        <f>SUMIFS(AA$2:AA$451,$H$2:$H$451,$C456)</f>
        <v>0</v>
      </c>
      <c r="AB456" s="85">
        <f>SUMIFS(AB$2:AB$451,$H$2:$H$451,$C456)</f>
        <v>3</v>
      </c>
      <c r="AC456" s="85">
        <f>SUMIFS(AC$2:AC$451,$H$2:$H$451,$C456)</f>
        <v>0</v>
      </c>
      <c r="AD456" s="85">
        <f>SUMIFS(AD$2:AD$451,$H$2:$H$451,$C456)</f>
        <v>1</v>
      </c>
      <c r="AE456" s="85">
        <f>SUMIFS(AE$2:AE$451,$H$2:$H$451,$C456)</f>
        <v>0</v>
      </c>
      <c r="AF456" s="98">
        <f>SUMIFS(AF$2:AF$451,$H$2:$H$451,$C456)</f>
        <v>0</v>
      </c>
      <c r="AG456" s="85">
        <f t="shared" ref="AG456" si="31">SUM(S456:AF456)</f>
        <v>6</v>
      </c>
      <c r="AH456" s="78"/>
    </row>
    <row r="457" spans="1:34" s="9" customFormat="1" x14ac:dyDescent="0.45">
      <c r="A457" s="109" t="s">
        <v>728</v>
      </c>
      <c r="B457" s="109" t="s">
        <v>26</v>
      </c>
      <c r="C457" s="109"/>
      <c r="D457" s="109"/>
      <c r="E457" s="109"/>
      <c r="F457" s="109"/>
      <c r="G457" s="109"/>
      <c r="H457" s="110">
        <f>COUNTIF(H$2:H$451,"")</f>
        <v>42</v>
      </c>
      <c r="I457" s="110">
        <f>COUNTIF(I$2:I$451,"")</f>
        <v>399</v>
      </c>
      <c r="J457" s="111">
        <f t="shared" ref="J457:AF457" si="32">SUMIFS(J$2:J$451,$H$2:$H$451,"")</f>
        <v>0</v>
      </c>
      <c r="K457" s="110">
        <f t="shared" si="32"/>
        <v>0</v>
      </c>
      <c r="L457" s="110">
        <f t="shared" si="32"/>
        <v>0</v>
      </c>
      <c r="M457" s="110">
        <f t="shared" si="32"/>
        <v>1</v>
      </c>
      <c r="N457" s="110">
        <f t="shared" si="32"/>
        <v>0</v>
      </c>
      <c r="O457" s="110">
        <f t="shared" si="32"/>
        <v>5</v>
      </c>
      <c r="P457" s="110">
        <f t="shared" si="32"/>
        <v>0</v>
      </c>
      <c r="Q457" s="110">
        <f t="shared" si="32"/>
        <v>0</v>
      </c>
      <c r="R457" s="112">
        <f t="shared" si="32"/>
        <v>6</v>
      </c>
      <c r="S457" s="110">
        <f t="shared" si="32"/>
        <v>0</v>
      </c>
      <c r="T457" s="110">
        <f t="shared" si="32"/>
        <v>0</v>
      </c>
      <c r="U457" s="110">
        <f t="shared" si="32"/>
        <v>0</v>
      </c>
      <c r="V457" s="110">
        <f t="shared" si="32"/>
        <v>0</v>
      </c>
      <c r="W457" s="110">
        <f t="shared" si="32"/>
        <v>0</v>
      </c>
      <c r="X457" s="110">
        <f t="shared" si="32"/>
        <v>0</v>
      </c>
      <c r="Y457" s="110">
        <f t="shared" si="32"/>
        <v>0</v>
      </c>
      <c r="Z457" s="110">
        <f t="shared" si="32"/>
        <v>0</v>
      </c>
      <c r="AA457" s="110">
        <f t="shared" si="32"/>
        <v>0</v>
      </c>
      <c r="AB457" s="110">
        <f t="shared" si="32"/>
        <v>0</v>
      </c>
      <c r="AC457" s="110">
        <f t="shared" si="32"/>
        <v>0</v>
      </c>
      <c r="AD457" s="110">
        <f t="shared" si="32"/>
        <v>0</v>
      </c>
      <c r="AE457" s="110">
        <f t="shared" si="32"/>
        <v>0</v>
      </c>
      <c r="AF457" s="112">
        <f t="shared" si="32"/>
        <v>0</v>
      </c>
      <c r="AG457" s="110">
        <f t="shared" si="30"/>
        <v>0</v>
      </c>
      <c r="AH457" s="112"/>
    </row>
    <row r="458" spans="1:34" x14ac:dyDescent="0.45">
      <c r="A458" t="s">
        <v>27</v>
      </c>
      <c r="B458" s="13" t="s">
        <v>27</v>
      </c>
      <c r="C458" t="s">
        <v>27</v>
      </c>
      <c r="F458" s="13" t="s">
        <v>27</v>
      </c>
      <c r="H458" s="1">
        <f>SUM(H452:H457)</f>
        <v>446</v>
      </c>
      <c r="I458" s="74"/>
      <c r="J458" s="1">
        <f t="shared" ref="J458" si="33">SUM(J452:J457)</f>
        <v>250</v>
      </c>
      <c r="K458" s="1">
        <f t="shared" ref="K458:M458" si="34">SUM(K452:K457)</f>
        <v>272</v>
      </c>
      <c r="L458" s="1">
        <f t="shared" si="34"/>
        <v>319</v>
      </c>
      <c r="M458" s="1">
        <f t="shared" si="34"/>
        <v>148</v>
      </c>
      <c r="N458" s="1">
        <f t="shared" ref="N458:O458" si="35">SUM(N452:N457)</f>
        <v>312</v>
      </c>
      <c r="O458" s="1">
        <f t="shared" si="35"/>
        <v>332</v>
      </c>
      <c r="P458" s="1">
        <f t="shared" ref="P458:Q458" si="36">SUM(P452:P457)</f>
        <v>315</v>
      </c>
      <c r="Q458" s="1">
        <f t="shared" si="36"/>
        <v>33</v>
      </c>
      <c r="R458" s="74">
        <f t="shared" ref="R458" si="37">SUM(R452:R457)</f>
        <v>410</v>
      </c>
      <c r="S458" s="1">
        <f t="shared" ref="S458:AD458" si="38">SUM(S452:S457)</f>
        <v>29</v>
      </c>
      <c r="T458" s="1">
        <f t="shared" si="38"/>
        <v>32</v>
      </c>
      <c r="U458" s="1">
        <f t="shared" si="38"/>
        <v>46</v>
      </c>
      <c r="V458" s="1">
        <f t="shared" si="38"/>
        <v>17</v>
      </c>
      <c r="W458" s="1">
        <f t="shared" si="38"/>
        <v>43</v>
      </c>
      <c r="X458" s="1">
        <f t="shared" si="38"/>
        <v>41</v>
      </c>
      <c r="Y458" s="1">
        <f>SUM(Y452:Y457)</f>
        <v>28</v>
      </c>
      <c r="Z458" s="1">
        <f>SUM(Z452:Z457)</f>
        <v>36</v>
      </c>
      <c r="AA458" s="1">
        <f>SUM(AA452:AA457)</f>
        <v>27</v>
      </c>
      <c r="AB458" s="1">
        <f>SUM(AB452:AB457)</f>
        <v>48</v>
      </c>
      <c r="AC458" s="1">
        <f>SUM(AC452:AC457)</f>
        <v>10</v>
      </c>
      <c r="AD458" s="1">
        <f t="shared" si="38"/>
        <v>23</v>
      </c>
      <c r="AE458" s="99">
        <f>SUM(AE452:AE457)</f>
        <v>16</v>
      </c>
      <c r="AF458" s="100">
        <f>SUM(AF452:AF457)</f>
        <v>3</v>
      </c>
      <c r="AG458" s="2">
        <f t="shared" si="30"/>
        <v>399</v>
      </c>
      <c r="AH458" s="78"/>
    </row>
    <row r="459" spans="1:34" x14ac:dyDescent="0.45">
      <c r="A459" t="s">
        <v>28</v>
      </c>
      <c r="B459" s="13" t="s">
        <v>28</v>
      </c>
      <c r="C459" t="s">
        <v>28</v>
      </c>
      <c r="F459" s="13" t="s">
        <v>28</v>
      </c>
      <c r="H459" s="1">
        <f t="shared" ref="H459" si="39">H458-H454-H457</f>
        <v>311</v>
      </c>
      <c r="I459" s="74"/>
      <c r="J459" s="1">
        <f t="shared" ref="J459:M459" si="40">J458-J454-J457</f>
        <v>189</v>
      </c>
      <c r="K459" s="1">
        <f t="shared" si="40"/>
        <v>222</v>
      </c>
      <c r="L459" s="1">
        <f t="shared" si="40"/>
        <v>244</v>
      </c>
      <c r="M459" s="1">
        <f t="shared" si="40"/>
        <v>116</v>
      </c>
      <c r="N459" s="1">
        <f t="shared" ref="N459:O459" si="41">N458-N454-N457</f>
        <v>237</v>
      </c>
      <c r="O459" s="1">
        <f t="shared" si="41"/>
        <v>252</v>
      </c>
      <c r="P459" s="1">
        <f t="shared" ref="P459:Q459" si="42">P458-P454-P457</f>
        <v>240</v>
      </c>
      <c r="Q459" s="1">
        <f t="shared" si="42"/>
        <v>33</v>
      </c>
      <c r="R459" s="74">
        <f t="shared" ref="R459" si="43">R458-R454-R457</f>
        <v>311</v>
      </c>
      <c r="S459" s="1">
        <f t="shared" ref="S459:AD459" si="44">S$452+S$453+S455</f>
        <v>25</v>
      </c>
      <c r="T459" s="1">
        <f t="shared" si="44"/>
        <v>23</v>
      </c>
      <c r="U459" s="1">
        <f t="shared" si="44"/>
        <v>34</v>
      </c>
      <c r="V459" s="1">
        <f t="shared" si="44"/>
        <v>17</v>
      </c>
      <c r="W459" s="1">
        <f t="shared" si="44"/>
        <v>26</v>
      </c>
      <c r="X459" s="1">
        <f t="shared" si="44"/>
        <v>24</v>
      </c>
      <c r="Y459" s="1">
        <f t="shared" si="44"/>
        <v>13</v>
      </c>
      <c r="Z459" s="1">
        <f t="shared" si="44"/>
        <v>21</v>
      </c>
      <c r="AA459" s="1">
        <f t="shared" si="44"/>
        <v>21</v>
      </c>
      <c r="AB459" s="1">
        <f t="shared" si="44"/>
        <v>45</v>
      </c>
      <c r="AC459" s="1">
        <f t="shared" si="44"/>
        <v>10</v>
      </c>
      <c r="AD459" s="1">
        <f t="shared" si="44"/>
        <v>22</v>
      </c>
      <c r="AE459" s="99">
        <f>AE$452+AE$453+AE455</f>
        <v>16</v>
      </c>
      <c r="AF459" s="100">
        <f>AF$452+AF$453+AF455</f>
        <v>3</v>
      </c>
      <c r="AG459" s="2">
        <f t="shared" si="30"/>
        <v>300</v>
      </c>
      <c r="AH459" s="78"/>
    </row>
  </sheetData>
  <autoFilter ref="A1:AH451" xr:uid="{5C1FF91F-9CCE-4A6C-8D63-17223F279B13}"/>
  <phoneticPr fontId="25" type="noConversion"/>
  <conditionalFormatting sqref="A2:C100 H2:I451 A101:D101 A102:C112 A113:B114 D113:D114 A115:C298 A299:B299 D299 A300:C451">
    <cfRule type="cellIs" dxfId="4" priority="22" operator="equal">
      <formula>""</formula>
    </cfRule>
  </conditionalFormatting>
  <conditionalFormatting sqref="D424">
    <cfRule type="cellIs" dxfId="3" priority="16" operator="equal">
      <formula>""</formula>
    </cfRule>
  </conditionalFormatting>
  <conditionalFormatting sqref="E2:E451">
    <cfRule type="cellIs" dxfId="2" priority="17" operator="equal">
      <formula>"geändert"</formula>
    </cfRule>
    <cfRule type="cellIs" dxfId="1" priority="18" operator="equal">
      <formula>"weg"</formula>
    </cfRule>
    <cfRule type="cellIs" dxfId="0" priority="60" operator="equal">
      <formula>"neu"</formula>
    </cfRule>
  </conditionalFormatting>
  <pageMargins left="0.7" right="0.7" top="0.78740157500000008" bottom="0.78740157500000008" header="0.3" footer="0.3"/>
  <pageSetup paperSize="9" orientation="portrait" r:id="rId1"/>
  <ignoredErrors>
    <ignoredError sqref="AG2:AG35 AG89:AG92 AG310:AG314 AG439:AG446 AG345 AG347:AG350 AG355 AG93:AG95 AG96:AG127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Anmerkungen</vt:lpstr>
      <vt:lpstr>Alle Kriterien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Gottfried Zimmermann</dc:creator>
  <cp:lastModifiedBy>Gottfried Zimmermann</cp:lastModifiedBy>
  <cp:revision>11</cp:revision>
  <dcterms:created xsi:type="dcterms:W3CDTF">2020-03-02T11:11:42Z</dcterms:created>
  <dcterms:modified xsi:type="dcterms:W3CDTF">2026-08-20T09:54:39Z</dcterms:modified>
</cp:coreProperties>
</file>