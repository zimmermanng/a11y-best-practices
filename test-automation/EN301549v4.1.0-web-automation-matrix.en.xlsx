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ithub\a11y-best-practices\test-automation\"/>
    </mc:Choice>
  </mc:AlternateContent>
  <xr:revisionPtr revIDLastSave="0" documentId="13_ncr:1_{2EBF082F-0FE2-42E3-96D8-C696B9C8030E}" xr6:coauthVersionLast="47" xr6:coauthVersionMax="47" xr10:uidLastSave="{00000000-0000-0000-0000-000000000000}"/>
  <bookViews>
    <workbookView xWindow="-4020" yWindow="-21600" windowWidth="26010" windowHeight="21705" activeTab="2" xr2:uid="{00000000-000D-0000-FFFF-FFFF00000000}"/>
  </bookViews>
  <sheets>
    <sheet name="Foreword" sheetId="1" r:id="rId1"/>
    <sheet name="Web test automation matrix" sheetId="2" r:id="rId2"/>
    <sheet name="References" sheetId="19" r:id="rId3"/>
  </sheets>
  <definedNames>
    <definedName name="_xlnm._FilterDatabase" localSheetId="1" hidden="1">'Web test automation matrix'!$A$1:$F$1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9" i="2" l="1"/>
  <c r="F338" i="2"/>
  <c r="F337" i="2"/>
  <c r="E341" i="2"/>
  <c r="E340" i="2"/>
  <c r="E339" i="2"/>
  <c r="E338" i="2"/>
  <c r="E337" i="2"/>
  <c r="E342" i="2" l="1"/>
  <c r="E343" i="2" s="1"/>
  <c r="F3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tc={026AD360-CB43-46E8-A2B8-FE7BD9752C28}</author>
    <author>tc={8C82F944-CBFF-4F7A-BEA1-65A7D67E4588}</author>
    <author>tc={51D8B415-DA58-405C-BB67-B22D3A5B23DB}</author>
    <author>tc={DB990AB7-9399-42D5-A9B8-F2280599FC7F}</author>
    <author>tc={F78DF2BB-24A7-42ED-A54C-5D9913C3148D}</author>
  </authors>
  <commentList>
    <comment ref="A1" authorId="0" shapeId="0" xr:uid="{026AD360-CB43-46E8-A2B8-FE7BD9752C2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Vgl. NA023-00-02GA_N3667_Kommentierung_des_deutschen_Entwurfs_DIN_EN_301549.pdf
</t>
      </text>
    </comment>
    <comment ref="D1" authorId="1" shapeId="0" xr:uid="{8C82F944-CBFF-4F7A-BEA1-65A7D67E4588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Vgl. NA023-00-02GA_N3667_Kommentierung_des_deutschen_Entwurfs_DIN_EN_301549.pdf
</t>
      </text>
    </comment>
    <comment ref="B65" authorId="2" shapeId="0" xr:uid="{51D8B415-DA58-405C-BB67-B22D3A5B23DB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min. 3 x 30 characters per second
</t>
      </text>
    </comment>
    <comment ref="A76" authorId="3" shapeId="0" xr:uid="{DB990AB7-9399-42D5-A9B8-F2280599FC7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  <comment ref="A77" authorId="4" shapeId="0" xr:uid="{F78DF2BB-24A7-42ED-A54C-5D9913C3148D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Fehlt in BIK BITV
</t>
      </text>
    </comment>
  </commentList>
</comments>
</file>

<file path=xl/sharedStrings.xml><?xml version="1.0" encoding="utf-8"?>
<sst xmlns="http://schemas.openxmlformats.org/spreadsheetml/2006/main" count="605" uniqueCount="492">
  <si>
    <t>Deutsche Bezeichner v3.2.1</t>
  </si>
  <si>
    <t>Deutsche Bezeichnung v4.1.0</t>
  </si>
  <si>
    <t>closed / open</t>
  </si>
  <si>
    <t>5.1.2.1 Closed functionality</t>
  </si>
  <si>
    <t>Geschlossene Funktionalität</t>
  </si>
  <si>
    <t>shall</t>
  </si>
  <si>
    <t>closed</t>
  </si>
  <si>
    <t>5.1.2.2 Assistive technology and closed functionality</t>
  </si>
  <si>
    <t>Assistenztechnologie und geschlossene Funktionalität</t>
  </si>
  <si>
    <t>5.1.3.1 Auditory output of visual information</t>
  </si>
  <si>
    <t>Auditive Ausgabe visueller Informationen</t>
  </si>
  <si>
    <t>5.1.3.2 Auditory output delivery including speech</t>
  </si>
  <si>
    <t>Bereitstellung von auditiven Ausgaben, einschließlich Sprache</t>
  </si>
  <si>
    <t>5.1.3.3 Auditory output correlation</t>
  </si>
  <si>
    <t>Zuordnung von auditiven Ausgaben</t>
  </si>
  <si>
    <t>5.1.3.4 Speech output user control</t>
  </si>
  <si>
    <t>Steuerung der Sprachausgabe durch den Benutzer</t>
  </si>
  <si>
    <t>5.1.3.5 Speech output automatic interruption</t>
  </si>
  <si>
    <t>Automatischer Abbruch der Sprachausgabe</t>
  </si>
  <si>
    <t>5.1.3.6 Auditory output for non-text content</t>
  </si>
  <si>
    <t>Auditive Ausgabe für Nicht-Text-Inhalt</t>
  </si>
  <si>
    <t>5.1.3.7 Auditory output for video information</t>
  </si>
  <si>
    <t>Auditive Ausgabe für Video-Informationen</t>
  </si>
  <si>
    <t>5.1.3.8 Masked entry</t>
  </si>
  <si>
    <t>Maskierte Eingabe</t>
  </si>
  <si>
    <t>5.1.3.9 Private access to personal data</t>
  </si>
  <si>
    <t>Privater Zugang zu persönlichen Daten</t>
  </si>
  <si>
    <t>5.1.3.10 Non-interfering audio output</t>
  </si>
  <si>
    <t xml:space="preserve"> Keine störenden Audioausgaben</t>
  </si>
  <si>
    <t>5.1.3.11 Private listening volume</t>
  </si>
  <si>
    <t>Lautstärkenregelung für Einrichtungen zum Schutz vor unerwünschtem Mithören</t>
  </si>
  <si>
    <t>5.1.3.12 Speaker volume</t>
  </si>
  <si>
    <t>Lautsprecherlautstärke</t>
  </si>
  <si>
    <t>5.1.3.13 Volume reset</t>
  </si>
  <si>
    <t>Zurücksetzen der Lautstärke</t>
  </si>
  <si>
    <t>5.1.3.14 Spoken languages</t>
  </si>
  <si>
    <t>Gesprochene Sprachen</t>
  </si>
  <si>
    <t>5.1.3.15 Non-visual error identification</t>
  </si>
  <si>
    <t>Nicht-visuelle Fehlererkennung</t>
  </si>
  <si>
    <t>5.1.3.16 Receipts, tickets, and transactional outputs</t>
  </si>
  <si>
    <t>Quittungen, Tickets und Transaktionsausgaben</t>
  </si>
  <si>
    <t>5.1.4 Functionality closed to text enlargement</t>
  </si>
  <si>
    <t>Funktionalität, geschlossen für Textvergrößerung</t>
  </si>
  <si>
    <t>5.1.5 Visual output for auditory information</t>
  </si>
  <si>
    <t>Visuelle Ausgabe für auditive Informationen</t>
  </si>
  <si>
    <t>5.1.6.1 Functionality closed to keyboards</t>
  </si>
  <si>
    <t>Funktionalität, geschlossen für Tastaturen</t>
  </si>
  <si>
    <t>5.1.6.2 Input focus</t>
  </si>
  <si>
    <t>Eingabefokus</t>
  </si>
  <si>
    <t>5.1.7 Access without speech</t>
  </si>
  <si>
    <t>Zugang ohne Sprache</t>
  </si>
  <si>
    <t>5.1.8 Identify input purpose (closed functionality)</t>
  </si>
  <si>
    <t>(was 11.1.3.5.2)</t>
  </si>
  <si>
    <t>Eingabezweck bestimmen (geschlossene Funktionalität)</t>
  </si>
  <si>
    <t>5.2 Activation of accessibility features</t>
  </si>
  <si>
    <t>5.2 Aktivierung von Barrierefreiheitsfunktionen</t>
  </si>
  <si>
    <t>Aktivierung von Barrierefreiheitsfunktionen</t>
  </si>
  <si>
    <t>5.3 Biometrics</t>
  </si>
  <si>
    <t>5.3 Biometrie</t>
  </si>
  <si>
    <t>Biometrie</t>
  </si>
  <si>
    <t>5.4 Preservation of accessibility information during conversion</t>
  </si>
  <si>
    <t>5.4 Erhaltung von Barrierefreiheitsinformationen bei Konvertierung</t>
  </si>
  <si>
    <t>Erhaltung von Barrierefreiheitsinformationen während der Umwandlung</t>
  </si>
  <si>
    <t>5.5.1 Möglichkeiten der Bedienung</t>
  </si>
  <si>
    <t>5.5 Tactilely discernible operable parts</t>
  </si>
  <si>
    <t>Taktil erkennbare bedienbare Elemente</t>
  </si>
  <si>
    <t>5.6.1 Tactile or auditory status</t>
  </si>
  <si>
    <t>5.6.1 Taktiler oder auditiver Status</t>
  </si>
  <si>
    <t>Taktiler oder auditiver Status</t>
  </si>
  <si>
    <t>5.6.2 Visual status</t>
  </si>
  <si>
    <t>5.6.2 Visueller Status</t>
  </si>
  <si>
    <t>Visueller Status</t>
  </si>
  <si>
    <t>5.7 Key repeat</t>
  </si>
  <si>
    <t>5.7 Tastenwiederholung</t>
  </si>
  <si>
    <t>Tastenwiederholung</t>
  </si>
  <si>
    <t>5.8 Double-strike key acceptance</t>
  </si>
  <si>
    <t>5.8 Annahme eines zweifachen Tastenanschlags</t>
  </si>
  <si>
    <t>Annahme eines zweifachen Tastenanschlags</t>
  </si>
  <si>
    <t>5.9 Simultaneous user actions</t>
  </si>
  <si>
    <t>5.9 Gleichzeitige Benutzerhandlungen</t>
  </si>
  <si>
    <t>Gleichzeitige Benutzerhandlungen</t>
  </si>
  <si>
    <t>5.10.1 Content technology</t>
  </si>
  <si>
    <t>Inhaltstechnologie</t>
  </si>
  <si>
    <t xml:space="preserve">5.10.2 Accessible content creation </t>
  </si>
  <si>
    <t>Erstellung barrierefreier Inhalte</t>
  </si>
  <si>
    <t>5.10.3 Preservation of accessibility information in transformations</t>
  </si>
  <si>
    <t>Erhaltung von Barrierefreiheitsinformationen bei Umwandlungen</t>
  </si>
  <si>
    <t>5.10.4 Repair assistance</t>
  </si>
  <si>
    <t>Reparaturunterstützung</t>
  </si>
  <si>
    <t>5.10.5 Templates</t>
  </si>
  <si>
    <t>Vorlagen</t>
  </si>
  <si>
    <t>6.0.1 Rationale for scenarios (informative)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</si>
  <si>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</si>
  <si>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</si>
  <si>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</si>
  <si>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</si>
  <si>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</si>
  <si>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</si>
  <si>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</si>
  <si>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6.1 Audiobandbreite für Sprache</t>
  </si>
  <si>
    <t>6.0.9 System with client in emergency visiting another country</t>
  </si>
  <si>
    <t>6.1.1 Voice communication interoperability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</si>
  <si>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</si>
  <si>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</si>
  <si>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</si>
  <si>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Textkommunikation in Echtzeit</t>
  </si>
  <si>
    <t>6.2.1.1 RTT functionality</t>
  </si>
  <si>
    <t>6.2.1.2 Gleichzeitige Sprache und Text</t>
  </si>
  <si>
    <t>6.2.1.2 Concurrent voice and RTT</t>
  </si>
  <si>
    <t>6.2.1.3 Single user action</t>
  </si>
  <si>
    <t>6.2.2.1 Distinguishable display</t>
  </si>
  <si>
    <t>6.2.2.2 Active communicator indication</t>
  </si>
  <si>
    <t>6.2.2.2 Programmatisch unterscheidbare Anzeige von Textnachrichten</t>
  </si>
  <si>
    <t>6.2.2.3 Indication of audio with RTT</t>
  </si>
  <si>
    <t>Duplicate with 6.2.2.3, here for voice+RTT communication</t>
  </si>
  <si>
    <t>6.2.2.3 Sprecheridentifizierung</t>
  </si>
  <si>
    <t>6.2.2.4 Presentation of relative time order of text</t>
  </si>
  <si>
    <t>6.2.2.5 Review of RTT communication contents</t>
  </si>
  <si>
    <t>6.2.2.4 Echtzeitanzeige von Sprech-Aktivität</t>
  </si>
  <si>
    <t>6.2.3 DTMF touch-tone generation during RTT operations</t>
  </si>
  <si>
    <t>6.2.4 RTT responsiveness</t>
  </si>
  <si>
    <t>6.2.4 Reaktionsgeschwindigkeit der Echtzeit-Textkommunikation</t>
  </si>
  <si>
    <t>max. 500ms delay from end to end</t>
  </si>
  <si>
    <t>6.2.5 Adding and erasing of RTT input</t>
  </si>
  <si>
    <t>6.2.6 Processing rate of RTT</t>
  </si>
  <si>
    <t>6.2.7 Character representation</t>
  </si>
  <si>
    <t>Unicode subset with emojis</t>
  </si>
  <si>
    <t>6.2.8 RTT input methods</t>
  </si>
  <si>
    <t>6.2.9 RTT media establishment and use</t>
  </si>
  <si>
    <t>6.2.10 RTT interoperability</t>
  </si>
  <si>
    <t>6.3 Caller ID</t>
  </si>
  <si>
    <t>6.3 Anrufer-Identifizierung</t>
  </si>
  <si>
    <t>… available in text form</t>
  </si>
  <si>
    <t>6.4 Alternatives to voice-based services</t>
  </si>
  <si>
    <t>6.4 Alternativen zu sprachbasierten Diensten</t>
  </si>
  <si>
    <t>6.5.1 General (informative)</t>
  </si>
  <si>
    <t>Introduction to all requirements in 6.5</t>
  </si>
  <si>
    <t>6.5.2 Resolution</t>
  </si>
  <si>
    <t>6.5.2 Auflösung bei Videotelefonie</t>
  </si>
  <si>
    <t>6.5.3 Frame rate</t>
  </si>
  <si>
    <t>6.5.3 Bildwiederholfrequenz bei Videotelefonie</t>
  </si>
  <si>
    <t>6.5.4 Synchronization between audio and video</t>
  </si>
  <si>
    <t>6.5.4 Synchronisierung zwischen Audio und Video</t>
  </si>
  <si>
    <t>audio-video delay max. 100 ms</t>
  </si>
  <si>
    <t>6.5.5 Visueller Indikator für Audio bei Video</t>
  </si>
  <si>
    <t>6.5.5 Indicator of audio with video</t>
  </si>
  <si>
    <t>Duplicate with 6.2.2.3, here for voice+video communication</t>
  </si>
  <si>
    <t>6.5.6 Sprecheridentifizierung mit Video (Gebärdensprache) Kommunikation</t>
  </si>
  <si>
    <t>6.5.6 Indication of all active communication participants</t>
  </si>
  <si>
    <t>Duplicate with 6.5.6, here for signers</t>
  </si>
  <si>
    <t>6.6 Alternatives to video-based services (recommendation)</t>
  </si>
  <si>
    <t>6.7.1 Total conversation provision</t>
  </si>
  <si>
    <t>Background info: ETSI ES 204 009</t>
  </si>
  <si>
    <t>6.7.2 Total conversation interoperability</t>
  </si>
  <si>
    <t>… video quality</t>
  </si>
  <si>
    <t>7.1.1 Subtitle playback</t>
  </si>
  <si>
    <t>7.1.2 Subtitle synchronization</t>
  </si>
  <si>
    <t>7.1.3 Preservation of subtitles</t>
  </si>
  <si>
    <t xml:space="preserve">7.1.4 Subtitle characteristics 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</si>
  <si>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</si>
  <si>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</si>
  <si>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</si>
  <si>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</si>
  <si>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 of audiovisual accessibility features</t>
  </si>
  <si>
    <t>8.1 General (informative)</t>
  </si>
  <si>
    <t>8.2.1.1 Speech volume gain</t>
  </si>
  <si>
    <t>8.2.1.2 Incremental volume control</t>
  </si>
  <si>
    <t>8.2.2.1 Fixed-line devices and handsets</t>
  </si>
  <si>
    <t>8.2.2.2 Wireless communication devices</t>
  </si>
  <si>
    <t>8.3.1 General (informative)</t>
  </si>
  <si>
    <t>on stationary ICT</t>
  </si>
  <si>
    <t>8.3.2 Display screen location</t>
  </si>
  <si>
    <t>Display must be at least 0,80 m above floor</t>
  </si>
  <si>
    <t>8.3.3.1 Presentation of information necessary for the operation of stationary ICT (no design restrictions)</t>
  </si>
  <si>
    <t>Necessary info must be at most 1,60 m above floor</t>
  </si>
  <si>
    <t>8.3.3.2 Presentation of information necessary for the operation of stationary ICT (with design restrictions)</t>
  </si>
  <si>
    <t>… at most 2,00 m above floor</t>
  </si>
  <si>
    <t>8.3.4 Legibility of display screens (informative)</t>
  </si>
  <si>
    <t>no text enlargement: ---&gt; 5.1.4</t>
  </si>
  <si>
    <t>8.3.5.1 Control location (vertical, no design restrictions)</t>
  </si>
  <si>
    <t>Controls must be in 0,80-1,10 m height</t>
  </si>
  <si>
    <t>8.3.5.2 Control location (vertical, with design restrictions)</t>
  </si>
  <si>
    <t>… in 0,38-1,22 m height</t>
  </si>
  <si>
    <t>8.3.6 Control location (horizontal)</t>
  </si>
  <si>
    <t>… max. 0,90 m width</t>
  </si>
  <si>
    <t>8.3.7.1 Reach depth (no design restrictions)</t>
  </si>
  <si>
    <t>… max. 0,30 m behind front</t>
  </si>
  <si>
    <t>8.3.7.2 Reach depth (with design restrictions)</t>
  </si>
  <si>
    <t>… max 0,51 m (forward reach) / 0,61 m (side reach)</t>
  </si>
  <si>
    <t>8.3.8 Forward or side reach (informative)</t>
  </si>
  <si>
    <t>8.3.9.1 Unobstructed forward reach (informative)</t>
  </si>
  <si>
    <t xml:space="preserve"> --&gt; 8.3.5 &amp; 8.3.6</t>
  </si>
  <si>
    <t>8.3.9.2 Obstructed forward reach (no design constraints)</t>
  </si>
  <si>
    <t>Obstruction max. 0,80m high and 0,30m deep</t>
  </si>
  <si>
    <t>8.3.9.3 Obstructed forward reach (with design constraints)</t>
  </si>
  <si>
    <t>… max. 0,80 m high and 0,51 m deep</t>
  </si>
  <si>
    <t>8.3.10.1 Unobstructed side reach (informative)</t>
  </si>
  <si>
    <t>8.3.10.2 Obstructed side reach (no design constraints)</t>
  </si>
  <si>
    <t>8.3.10.3 Obstructed side reach (with design constraints)</t>
  </si>
  <si>
    <t>… max. 0,865 m high and 0,61 m deep</t>
  </si>
  <si>
    <t>8.3.11.1 Free space underneath stationary ICT with or without an obstruction (no design constraints)</t>
  </si>
  <si>
    <t>8.3.11.2 Free space underneath stationary ICT with or without an obstruction (with design constraints)</t>
  </si>
  <si>
    <t>Excempt: ATMs, stationary ICT freestanding, and others</t>
  </si>
  <si>
    <t>8.3.12 Floor characteristics (informative)</t>
  </si>
  <si>
    <t xml:space="preserve"> --&gt; ISO 21542</t>
  </si>
  <si>
    <t>8.3.13 Approach (informative)</t>
  </si>
  <si>
    <t>8.3.14 Installation instructions</t>
  </si>
  <si>
    <t>Install based on 8.3 --&gt; EN 17210 &amp; ISO 21542</t>
  </si>
  <si>
    <t>8.4.1 Numeric keys</t>
  </si>
  <si>
    <t xml:space="preserve">Physical key 5 tactiley distinct </t>
  </si>
  <si>
    <t>8.4.2.1 Means of operation</t>
  </si>
  <si>
    <t>8.4.2.2 Force of operation of operable parts</t>
  </si>
  <si>
    <t>8.4.3 Keys, tickets and fare cards</t>
  </si>
  <si>
    <t>8.5 Tactile indication of speech mode</t>
  </si>
  <si>
    <t>8.6 Standard connections</t>
  </si>
  <si>
    <t>8.7 Colour on hardware</t>
  </si>
  <si>
    <t>8.8 Contrast on hardware</t>
  </si>
  <si>
    <t>No contrast ratio limit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</si>
  <si>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</si>
  <si>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</si>
  <si>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</si>
  <si>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</si>
  <si>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</si>
  <si>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</si>
  <si>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</si>
  <si>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</si>
  <si>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</si>
  <si>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</si>
  <si>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</si>
  <si>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</si>
  <si>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</si>
  <si>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</si>
  <si>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</si>
  <si>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</si>
  <si>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</si>
  <si>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</si>
  <si>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</si>
  <si>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</si>
  <si>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</si>
  <si>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</si>
  <si>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</si>
  <si>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</si>
  <si>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</si>
  <si>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</si>
  <si>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</si>
  <si>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</si>
  <si>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</si>
  <si>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</si>
  <si>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</si>
  <si>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</si>
  <si>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</si>
  <si>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</si>
  <si>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</si>
  <si>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</si>
  <si>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</si>
  <si>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</si>
  <si>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</si>
  <si>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</si>
  <si>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</si>
  <si>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</si>
  <si>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</si>
  <si>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</si>
  <si>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</si>
  <si>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</si>
  <si>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</si>
  <si>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</si>
  <si>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</si>
  <si>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</si>
  <si>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</si>
  <si>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</si>
  <si>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</si>
  <si>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</si>
  <si>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</si>
  <si>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9.5	WCAG 2.2 AAA Success Criteria (informative)</t>
  </si>
  <si>
    <t>9.6 WCAG conformance requirements</t>
  </si>
  <si>
    <t>9.7 User preferences for web pages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</si>
  <si>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</si>
  <si>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</si>
  <si>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</si>
  <si>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</si>
  <si>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10.1.2.4 Subtitles (live)</t>
  </si>
  <si>
    <t>10.1.2.5 Audio description (pre-recorded)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</si>
  <si>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</si>
  <si>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</si>
  <si>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</si>
  <si>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</si>
  <si>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</si>
  <si>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</si>
  <si>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</si>
  <si>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</si>
  <si>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</si>
  <si>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</si>
  <si>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</si>
  <si>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</si>
  <si>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</si>
  <si>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</si>
  <si>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</si>
  <si>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</si>
  <si>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10.2.1.4 Character key shortcuts</t>
  </si>
  <si>
    <t>10.2.2.1 Timing adjustable</t>
  </si>
  <si>
    <t>10.2.2.2 Pause, stop, hide</t>
  </si>
  <si>
    <t>10.2.3.1 Three flashes or below threshold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</si>
  <si>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</si>
  <si>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</si>
  <si>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</si>
  <si>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</si>
  <si>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</si>
  <si>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10.2.4.11 Focus not obscured (minimum)</t>
  </si>
  <si>
    <t>10.2.5.1 Pointer gestures</t>
  </si>
  <si>
    <t>10.2.5.2 Pointer cancellation</t>
  </si>
  <si>
    <t>10.2.5.3 Label in name</t>
  </si>
  <si>
    <t>10.2.5.4 Motion actuation</t>
  </si>
  <si>
    <t>10.2.5.7 Dragging movements</t>
  </si>
  <si>
    <t>10.2.5.8 Target size (minimum)</t>
  </si>
  <si>
    <t>10.3.1.1 Language of non-web document</t>
  </si>
  <si>
    <t>10.3.1.2 Language of parts</t>
  </si>
  <si>
    <t>10.3.2.1 On focus</t>
  </si>
  <si>
    <t>10.3.2.2 On input</t>
  </si>
  <si>
    <t>10.3.2.3 Consistent navigation</t>
  </si>
  <si>
    <t>10.3.2.4 Consistent identification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</si>
  <si>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</si>
  <si>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</si>
  <si>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</si>
  <si>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</si>
  <si>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</si>
  <si>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10.3.3.7 Redundant entry</t>
  </si>
  <si>
    <t>10.3.3.8 Accessible authentication (minimum)</t>
  </si>
  <si>
    <t>10.4.1.2 Name, role, value</t>
  </si>
  <si>
    <t>10.4.1.3 Status messages</t>
  </si>
  <si>
    <t>10.5 Subtitle positioning (recommendation)</t>
  </si>
  <si>
    <t>10.6 Audio description timing (recommendation)</t>
  </si>
  <si>
    <t>10.7 User preferences for non-web documents</t>
  </si>
  <si>
    <t>11.1.1.1 Non-text content</t>
  </si>
  <si>
    <t>open</t>
  </si>
  <si>
    <t>11.1.2.1 Audio-only and video-only (pre-recorded)</t>
  </si>
  <si>
    <t>11.1.2.2 Subtitles (pre-recorded)</t>
  </si>
  <si>
    <t>11.1.2.3 Audio description or media alternative (pre-recorded)</t>
  </si>
  <si>
    <t>11.1.2.4 Subtitles (live)</t>
  </si>
  <si>
    <t>11.1.2.5 Audio description (pre-recorded)</t>
  </si>
  <si>
    <t>11.1.3.1 Info and relationships</t>
  </si>
  <si>
    <t>11.1.3.2 Meaningful sequence</t>
  </si>
  <si>
    <t>11.1.3.3 Sensory characteristics</t>
  </si>
  <si>
    <t>11.1.3.4 Orientation</t>
  </si>
  <si>
    <t>11.1.3.5 Identify input purpose</t>
  </si>
  <si>
    <t>11.1.4.1 Use of colour</t>
  </si>
  <si>
    <t>11.1.4.2 Audio control</t>
  </si>
  <si>
    <t>11.1.4.3 Contrast (minimum)</t>
  </si>
  <si>
    <t>11.1.4.4 Resize text</t>
  </si>
  <si>
    <t>11.1.4.5 Images of text</t>
  </si>
  <si>
    <t>11.1.4.10 Reflow</t>
  </si>
  <si>
    <t>11.1.4.11 Non-text contrast</t>
  </si>
  <si>
    <t>11.1.4.12 Text spacing</t>
  </si>
  <si>
    <t>11.1.4.13 Content on hover or focus</t>
  </si>
  <si>
    <t>11.2.1.1 Keyboard</t>
  </si>
  <si>
    <t>11.2.1.2 No keyboard trap</t>
  </si>
  <si>
    <t xml:space="preserve">11.2.1.4 Character key shortcuts </t>
  </si>
  <si>
    <t>11.2.2.1 Timing adjustable</t>
  </si>
  <si>
    <t>11.2.2.2 Pause, stop, hide</t>
  </si>
  <si>
    <t>11.2.3.1 Three flashes or below threshold</t>
  </si>
  <si>
    <t>11.2.4.2 Non-web software titled</t>
  </si>
  <si>
    <t>11.2.4.3 Focus order</t>
  </si>
  <si>
    <t>11.2.4.4 Link purpose (in context)</t>
  </si>
  <si>
    <t>11.2.4.6 Headings and labels</t>
  </si>
  <si>
    <t>11.2.4.7 Focus visible</t>
  </si>
  <si>
    <t>11.2.4.11 Focus not obscured (minimum)</t>
  </si>
  <si>
    <t>11.2.5.1 Pointer gestures</t>
  </si>
  <si>
    <t>11.2.5.2 Pointer cancellation</t>
  </si>
  <si>
    <t>11.2.5.3 Label in name</t>
  </si>
  <si>
    <t>11.2.5.4 Motion actuation</t>
  </si>
  <si>
    <t>11.2.5.7 Dragging movements</t>
  </si>
  <si>
    <t>11.2.5.8 Target size (minimum)</t>
  </si>
  <si>
    <t>11.3.1.1 Language of non-web software</t>
  </si>
  <si>
    <t>11.3.2.1 On focus</t>
  </si>
  <si>
    <t>11.3.2.2 On input</t>
  </si>
  <si>
    <t>11.3.2.4 Consistent identification</t>
  </si>
  <si>
    <t>11.3.3.1 Error identification</t>
  </si>
  <si>
    <t>11.3.3.2 Labels or instructions</t>
  </si>
  <si>
    <t>11.3.3.3 Error suggestion</t>
  </si>
  <si>
    <t>11.3.3.4 Error prevention (legal, financial, data)</t>
  </si>
  <si>
    <t>11.3.3.7 Redundant entry</t>
  </si>
  <si>
    <t>11.3.3.8 Accessible authentication (minimum)</t>
  </si>
  <si>
    <t>11.4.1.2 Name, role, value</t>
  </si>
  <si>
    <t>11.4.1.3 Status messages</t>
  </si>
  <si>
    <t>11.5.1 Closed functionality (informative)</t>
  </si>
  <si>
    <t>11.5.2.1 Platform interoperability with assistive technologies</t>
  </si>
  <si>
    <t>… for platform software only</t>
  </si>
  <si>
    <t>11.5.2.3 Use of accessibility services (recommendation)</t>
  </si>
  <si>
    <t>should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</si>
  <si>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</si>
  <si>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</si>
  <si>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</si>
  <si>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</si>
  <si>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</si>
  <si>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</si>
  <si>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</si>
  <si>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</si>
  <si>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</si>
  <si>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</si>
  <si>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</si>
  <si>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</si>
  <si>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</si>
  <si>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</si>
  <si>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</si>
  <si>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</si>
  <si>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</si>
  <si>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</si>
  <si>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</si>
  <si>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</si>
  <si>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</si>
  <si>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</si>
  <si>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13.1.1 General (informative)</t>
  </si>
  <si>
    <t>13.1.2.2 Use of the primary user destination address in relayed communications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</si>
  <si>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</si>
  <si>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</si>
  <si>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</si>
  <si>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</si>
  <si>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</si>
  <si>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</si>
  <si>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</si>
  <si>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</si>
  <si>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13.3 Access to emergency services (informative)</t>
  </si>
  <si>
    <t>14.1 Achieving conformance (informative)</t>
  </si>
  <si>
    <t>14.2 Special states</t>
  </si>
  <si>
    <t>... startup, shutdown, repair, …</t>
  </si>
  <si>
    <t>14.3 One mode</t>
  </si>
  <si>
    <t>… overlay tools</t>
  </si>
  <si>
    <t xml:space="preserve">BITV§4a Gebärdensprache </t>
  </si>
  <si>
    <t>BITV20</t>
  </si>
  <si>
    <t xml:space="preserve">BITV§4b Leichte Sprache </t>
  </si>
  <si>
    <t>BITV§7 Erklärung zur Barrierefreiheit</t>
  </si>
  <si>
    <t>PDF/UA</t>
  </si>
  <si>
    <t>Summe (A)</t>
  </si>
  <si>
    <t>Summe (AA)</t>
  </si>
  <si>
    <t>Summe (AAA)</t>
  </si>
  <si>
    <t>Summe (shall)</t>
  </si>
  <si>
    <t>Summe (should)</t>
  </si>
  <si>
    <t>Gesamt</t>
  </si>
  <si>
    <t>Summe Pflicht (ohne AAA / should)</t>
  </si>
  <si>
    <t>Criteria from EN 301 549 v4.1.0 (2026-06)</t>
  </si>
  <si>
    <t>Source: https://www.etsi.org/deliver/etsi_en/301500_301599/301549/04.01.00_20/en_301549v040100ev.pdf</t>
  </si>
  <si>
    <t>Please do NOT save this file in OpenOffice or LibreOffice - it may get corrupted</t>
  </si>
  <si>
    <t>Criteria</t>
  </si>
  <si>
    <t>Comments</t>
  </si>
  <si>
    <t>BITV§4a Information in Sign Language</t>
  </si>
  <si>
    <t>BITV§4b Information in Easy Language</t>
  </si>
  <si>
    <t>BITV§7 Accessibility Statement</t>
  </si>
  <si>
    <t>Sum (shall)</t>
  </si>
  <si>
    <t>Sum (should)</t>
  </si>
  <si>
    <t>Total</t>
  </si>
  <si>
    <t>Sum mandatory (no AAA / should)</t>
  </si>
  <si>
    <t>Sum (A / neither open nor closed)</t>
  </si>
  <si>
    <t>Sum (AA / open)</t>
  </si>
  <si>
    <t>Sum (AAA / closed)</t>
  </si>
  <si>
    <t>Easy-Web-Check</t>
  </si>
  <si>
    <t>Tool 1</t>
  </si>
  <si>
    <t>Tool 2</t>
  </si>
  <si>
    <t>Tool 3</t>
  </si>
  <si>
    <t>Tool 4</t>
  </si>
  <si>
    <t>Tool 5</t>
  </si>
  <si>
    <t>Tool 6</t>
  </si>
  <si>
    <t>Tool 7</t>
  </si>
  <si>
    <t>Tool 8</t>
  </si>
  <si>
    <t>Tool 9</t>
  </si>
  <si>
    <t>Tool 10</t>
  </si>
  <si>
    <t>Tool 11</t>
  </si>
  <si>
    <t>Tool 12</t>
  </si>
  <si>
    <t>Tool 13</t>
  </si>
  <si>
    <t>Tool 14</t>
  </si>
  <si>
    <t>Tool 15</t>
  </si>
  <si>
    <t>Tool 16</t>
  </si>
  <si>
    <t>Tool 17</t>
  </si>
  <si>
    <t>Tool 18</t>
  </si>
  <si>
    <t>Tool 19</t>
  </si>
  <si>
    <t>Tool 20</t>
  </si>
  <si>
    <t>Tool 21</t>
  </si>
  <si>
    <t>Tool 22</t>
  </si>
  <si>
    <t>Tool 23</t>
  </si>
  <si>
    <t>Tool 24</t>
  </si>
  <si>
    <t xml:space="preserve">Level </t>
  </si>
  <si>
    <t>Theses</t>
  </si>
  <si>
    <t>axe-core</t>
  </si>
  <si>
    <t>Projects</t>
  </si>
  <si>
    <t>FR</t>
  </si>
  <si>
    <t>Berg (2025)
Kopp (2025)</t>
  </si>
  <si>
    <t>Berg (2025)</t>
  </si>
  <si>
    <t>Frankenfeld (2026)</t>
  </si>
  <si>
    <t>Kopp (2025)
Frankenfeld (2026)</t>
  </si>
  <si>
    <t>Team</t>
  </si>
  <si>
    <t>Kopp (2025)</t>
  </si>
  <si>
    <t>Caroline Kopp. (2025, Februar 10). Einsatzpotenziale von Large Language Models zur Verbesserung der Barrierefreiheit im automatisierten Website-Testing. Bachelorthesis. https://nbn-resolving.org/urn:nbn:de:bsz:900-opus4-72446</t>
  </si>
  <si>
    <t>Kira Helen Frankenfeld. (2026, Juni 1). KI-gestützte multimodale Prüfmethoden zur automatisierten Barrierefreiheitsprüfung von Webseiten. https://nbn-resolving.org/urn:nbn:de:bsz:900-opus4-73472</t>
  </si>
  <si>
    <t>Sabrina Berg. (2025, September 29). Large Language Model unterstützte Barrierefreiheitsprüfung für Websites—Analyse und proof of concept. https://nbn-resolving.org/urn:nbn:de:bsz:900-opus4-73046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</si>
</sst>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sz val="11"/>
      <color theme="1"/>
      <name val="Calibri"/>
      <scheme val="minor"/>
    </font>
    <font>
      <b/>
      <sz val="11"/>
      <color indexed="2"/>
      <name val="Calibri"/>
      <scheme val="minor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theme="0" tint="-0.499984740745262"/>
      <name val="Calibri"/>
      <scheme val="minor"/>
    </font>
    <font>
      <b/>
      <sz val="11"/>
      <color theme="9" tint="-0.249977111117893"/>
      <name val="Calibri"/>
      <scheme val="minor"/>
    </font>
    <font>
      <sz val="11"/>
      <color theme="7" tint="-0.499984740745262"/>
      <name val="Calibri"/>
      <scheme val="minor"/>
    </font>
    <font>
      <sz val="11"/>
      <color theme="0" tint="-0.499984740745262"/>
      <name val="Calibri"/>
      <scheme val="minor"/>
    </font>
    <font>
      <sz val="11"/>
      <color rgb="FFA66500"/>
      <name val="Calibri"/>
      <scheme val="minor"/>
    </font>
    <font>
      <sz val="11"/>
      <color theme="2" tint="-0.499984740745262"/>
      <name val="Calibri"/>
      <scheme val="minor"/>
    </font>
    <font>
      <sz val="11"/>
      <color theme="9" tint="-0.249977111117893"/>
      <name val="Calibri"/>
      <scheme val="minor"/>
    </font>
    <font>
      <i/>
      <sz val="11"/>
      <color theme="0" tint="-0.499984740745262"/>
      <name val="Calibri"/>
      <scheme val="minor"/>
    </font>
    <font>
      <sz val="11"/>
      <color theme="1"/>
      <name val="Calibri"/>
      <scheme val="minor"/>
    </font>
    <font>
      <sz val="11"/>
      <color theme="7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/>
    <xf numFmtId="0" fontId="16" fillId="0" borderId="0"/>
  </cellStyleXfs>
  <cellXfs count="4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wrapText="1"/>
    </xf>
    <xf numFmtId="0" fontId="4" fillId="0" borderId="2" xfId="0" applyFont="1" applyBorder="1" applyAlignment="1">
      <alignment wrapText="1"/>
    </xf>
    <xf numFmtId="0" fontId="0" fillId="0" borderId="3" xfId="0" applyBorder="1" applyAlignment="1">
      <alignment horizontal="center" textRotation="90" wrapText="1"/>
    </xf>
    <xf numFmtId="0" fontId="0" fillId="0" borderId="2" xfId="0" applyBorder="1" applyAlignment="1">
      <alignment horizontal="center" textRotation="90" wrapText="1"/>
    </xf>
    <xf numFmtId="0" fontId="3" fillId="0" borderId="0" xfId="1" applyAlignment="1">
      <alignment wrapText="1"/>
    </xf>
    <xf numFmtId="0" fontId="0" fillId="0" borderId="4" xfId="0" applyBorder="1" applyAlignment="1">
      <alignment horizontal="center" textRotation="90" wrapText="1"/>
    </xf>
    <xf numFmtId="0" fontId="18" fillId="0" borderId="2" xfId="0" applyFont="1" applyBorder="1" applyAlignment="1">
      <alignment horizontal="center" textRotation="90" wrapText="1"/>
    </xf>
    <xf numFmtId="0" fontId="18" fillId="0" borderId="0" xfId="0" applyFont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  <xf numFmtId="0" fontId="7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6" fillId="0" borderId="0" xfId="2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9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10" fillId="0" borderId="1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0" xfId="2" applyFont="1" applyAlignment="1">
      <alignment wrapText="1"/>
    </xf>
    <xf numFmtId="0" fontId="11" fillId="0" borderId="0" xfId="2" applyFont="1" applyAlignment="1">
      <alignment wrapText="1"/>
    </xf>
    <xf numFmtId="0" fontId="20" fillId="0" borderId="0" xfId="0" applyFont="1" applyAlignment="1">
      <alignment wrapText="1"/>
    </xf>
    <xf numFmtId="0" fontId="14" fillId="0" borderId="0" xfId="2" applyFont="1" applyAlignment="1">
      <alignment wrapText="1"/>
    </xf>
    <xf numFmtId="0" fontId="12" fillId="0" borderId="0" xfId="2" applyFont="1" applyAlignment="1">
      <alignment wrapText="1"/>
    </xf>
    <xf numFmtId="0" fontId="15" fillId="0" borderId="0" xfId="2" applyFont="1" applyAlignment="1">
      <alignment wrapText="1"/>
    </xf>
    <xf numFmtId="0" fontId="2" fillId="0" borderId="0" xfId="0" applyFont="1" applyAlignment="1">
      <alignment wrapText="1"/>
    </xf>
    <xf numFmtId="0" fontId="6" fillId="0" borderId="3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0" fontId="10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0" xfId="0" applyFill="1" applyAlignment="1">
      <alignment wrapText="1"/>
    </xf>
  </cellXfs>
  <cellStyles count="3">
    <cellStyle name="Link" xfId="1" builtinId="8"/>
    <cellStyle name="Standard" xfId="0" builtinId="0"/>
    <cellStyle name="Standard 2" xfId="2" xr:uid="{00000000-0005-0000-0000-000004000000}"/>
  </cellStyles>
  <dxfs count="1">
    <dxf>
      <fill>
        <patternFill patternType="solid">
          <fgColor theme="0" tint="-4.9989318521683403E-2"/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003BAB69-7210-4DF6-872B-259164A47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0B42C240-78F5-A255-AA3B-9808A056B5EC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0B42C240-78F5-A255-AA3B-9808A056B5EC}" id="{026AD360-CB43-46E8-A2B8-FE7BD9752C28}">
    <text xml:space="preserve">Vgl. NA023-00-02GA_N3667_Kommentierung_des_deutschen_Entwurfs_DIN_EN_301549.pdf
</text>
  </threadedComment>
  <threadedComment ref="D1" personId="{0B42C240-78F5-A255-AA3B-9808A056B5EC}" id="{8C82F944-CBFF-4F7A-BEA1-65A7D67E4588}">
    <text xml:space="preserve">Vgl. NA023-00-02GA_N3667_Kommentierung_des_deutschen_Entwurfs_DIN_EN_301549.pdf
</text>
  </threadedComment>
  <threadedComment ref="B65" personId="{0B42C240-78F5-A255-AA3B-9808A056B5EC}" id="{51D8B415-DA58-405C-BB67-B22D3A5B23DB}">
    <text xml:space="preserve">min. 3 x 30 characters per second
</text>
  </threadedComment>
  <threadedComment ref="A76" personId="{0B42C240-78F5-A255-AA3B-9808A056B5EC}" id="{DB990AB7-9399-42D5-A9B8-F2280599FC7F}">
    <text xml:space="preserve">Fehlt in BIK BITV
</text>
  </threadedComment>
  <threadedComment ref="A77" personId="{0B42C240-78F5-A255-AA3B-9808A056B5EC}" id="{F78DF2BB-24A7-42ED-A54C-5D9913C3148D}">
    <text xml:space="preserve">Fehlt in BIK BITV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si.org/deliver/etsi_en/301500_301599/301549/04.01.00_20/en_301549v040100ev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5" sqref="B5"/>
    </sheetView>
  </sheetViews>
  <sheetFormatPr baseColWidth="10" defaultColWidth="11.46484375" defaultRowHeight="14.25" x14ac:dyDescent="0.45"/>
  <cols>
    <col min="1" max="1" width="66" customWidth="1"/>
  </cols>
  <sheetData>
    <row r="1" spans="1:1" x14ac:dyDescent="0.45">
      <c r="A1" s="1" t="s">
        <v>438</v>
      </c>
    </row>
    <row r="2" spans="1:1" ht="42.75" x14ac:dyDescent="0.45">
      <c r="A2" s="6" t="s">
        <v>439</v>
      </c>
    </row>
    <row r="5" spans="1:1" ht="28.5" x14ac:dyDescent="0.45">
      <c r="A5" s="2" t="s">
        <v>440</v>
      </c>
    </row>
  </sheetData>
  <hyperlinks>
    <hyperlink ref="A2" r:id="rId1" display="Quelle: https://www.etsi.org/deliver/etsi_en/301500_301599/301549/04.01.00_20/en_301549v040100ev.pdf" xr:uid="{89AF71F7-0C6A-426E-BC8D-6C02C41A6142}"/>
  </hyperlinks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43"/>
  <sheetViews>
    <sheetView zoomScaleNormal="100" workbookViewId="0">
      <pane xSplit="1" ySplit="1" topLeftCell="B2" activePane="bottomRight" state="frozen"/>
      <selection activeCell="A7" sqref="A7"/>
      <selection pane="topRight"/>
      <selection pane="bottomLeft"/>
      <selection pane="bottomRight" activeCell="B1" sqref="B1"/>
    </sheetView>
  </sheetViews>
  <sheetFormatPr baseColWidth="10" defaultColWidth="11.46484375" defaultRowHeight="14.25" x14ac:dyDescent="0.45"/>
  <cols>
    <col min="1" max="1" width="46.06640625" style="15" hidden="1" customWidth="1"/>
    <col min="2" max="2" width="41.1328125" style="14" customWidth="1"/>
    <col min="3" max="3" width="20.06640625" style="14" customWidth="1"/>
    <col min="4" max="4" width="46.06640625" style="15" hidden="1" customWidth="1"/>
    <col min="5" max="5" width="9.796875" style="14" customWidth="1"/>
    <col min="6" max="6" width="6.3984375" style="14" customWidth="1"/>
    <col min="7" max="34" width="6.86328125" style="14" customWidth="1"/>
    <col min="35" max="16384" width="11.46484375" style="14"/>
  </cols>
  <sheetData>
    <row r="1" spans="1:34" ht="102.75" customHeight="1" x14ac:dyDescent="0.45">
      <c r="A1" s="13" t="s">
        <v>0</v>
      </c>
      <c r="B1" s="3" t="s">
        <v>441</v>
      </c>
      <c r="C1" s="3" t="s">
        <v>442</v>
      </c>
      <c r="D1" s="13" t="s">
        <v>1</v>
      </c>
      <c r="E1" s="5" t="s">
        <v>478</v>
      </c>
      <c r="F1" s="4" t="s">
        <v>2</v>
      </c>
      <c r="G1" s="7" t="s">
        <v>453</v>
      </c>
      <c r="H1" s="10" t="s">
        <v>480</v>
      </c>
      <c r="I1" s="10" t="s">
        <v>481</v>
      </c>
      <c r="J1" s="10" t="s">
        <v>479</v>
      </c>
      <c r="K1" s="8" t="s">
        <v>454</v>
      </c>
      <c r="L1" s="9" t="s">
        <v>455</v>
      </c>
      <c r="M1" s="8" t="s">
        <v>456</v>
      </c>
      <c r="N1" s="9" t="s">
        <v>457</v>
      </c>
      <c r="O1" s="8" t="s">
        <v>458</v>
      </c>
      <c r="P1" s="9" t="s">
        <v>459</v>
      </c>
      <c r="Q1" s="8" t="s">
        <v>460</v>
      </c>
      <c r="R1" s="9" t="s">
        <v>461</v>
      </c>
      <c r="S1" s="8" t="s">
        <v>462</v>
      </c>
      <c r="T1" s="9" t="s">
        <v>463</v>
      </c>
      <c r="U1" s="8" t="s">
        <v>464</v>
      </c>
      <c r="V1" s="9" t="s">
        <v>465</v>
      </c>
      <c r="W1" s="8" t="s">
        <v>466</v>
      </c>
      <c r="X1" s="9" t="s">
        <v>467</v>
      </c>
      <c r="Y1" s="8" t="s">
        <v>468</v>
      </c>
      <c r="Z1" s="9" t="s">
        <v>469</v>
      </c>
      <c r="AA1" s="8" t="s">
        <v>470</v>
      </c>
      <c r="AB1" s="9" t="s">
        <v>471</v>
      </c>
      <c r="AC1" s="8" t="s">
        <v>472</v>
      </c>
      <c r="AD1" s="9" t="s">
        <v>473</v>
      </c>
      <c r="AE1" s="8" t="s">
        <v>474</v>
      </c>
      <c r="AF1" s="9" t="s">
        <v>475</v>
      </c>
      <c r="AG1" s="8" t="s">
        <v>476</v>
      </c>
      <c r="AH1" s="9" t="s">
        <v>477</v>
      </c>
    </row>
    <row r="2" spans="1:34" x14ac:dyDescent="0.45">
      <c r="F2" s="16"/>
    </row>
    <row r="3" spans="1:34" x14ac:dyDescent="0.45">
      <c r="B3" s="15" t="s">
        <v>3</v>
      </c>
      <c r="C3" s="15"/>
      <c r="D3" s="15" t="s">
        <v>4</v>
      </c>
      <c r="E3" s="14" t="s">
        <v>5</v>
      </c>
      <c r="F3" s="16" t="s">
        <v>6</v>
      </c>
    </row>
    <row r="4" spans="1:34" ht="28.5" x14ac:dyDescent="0.45">
      <c r="B4" s="15" t="s">
        <v>7</v>
      </c>
      <c r="C4" s="15"/>
      <c r="D4" s="15" t="s">
        <v>8</v>
      </c>
      <c r="E4" s="14" t="s">
        <v>5</v>
      </c>
      <c r="F4" s="16" t="s">
        <v>6</v>
      </c>
    </row>
    <row r="5" spans="1:34" x14ac:dyDescent="0.45">
      <c r="B5" s="15" t="s">
        <v>9</v>
      </c>
      <c r="C5" s="15"/>
      <c r="D5" s="15" t="s">
        <v>10</v>
      </c>
      <c r="E5" s="14" t="s">
        <v>5</v>
      </c>
      <c r="F5" s="16" t="s">
        <v>6</v>
      </c>
    </row>
    <row r="6" spans="1:34" ht="28.5" x14ac:dyDescent="0.45">
      <c r="B6" s="15" t="s">
        <v>11</v>
      </c>
      <c r="C6" s="15"/>
      <c r="D6" s="15" t="s">
        <v>12</v>
      </c>
      <c r="E6" s="14" t="s">
        <v>5</v>
      </c>
      <c r="F6" s="16" t="s">
        <v>6</v>
      </c>
    </row>
    <row r="7" spans="1:34" x14ac:dyDescent="0.45">
      <c r="B7" s="15" t="s">
        <v>13</v>
      </c>
      <c r="C7" s="15"/>
      <c r="D7" s="15" t="s">
        <v>14</v>
      </c>
      <c r="E7" s="14" t="s">
        <v>5</v>
      </c>
      <c r="F7" s="16" t="s">
        <v>6</v>
      </c>
    </row>
    <row r="8" spans="1:34" x14ac:dyDescent="0.45">
      <c r="B8" s="15" t="s">
        <v>15</v>
      </c>
      <c r="C8" s="15"/>
      <c r="D8" s="15" t="s">
        <v>16</v>
      </c>
      <c r="E8" s="14" t="s">
        <v>5</v>
      </c>
      <c r="F8" s="16" t="s">
        <v>6</v>
      </c>
    </row>
    <row r="9" spans="1:34" x14ac:dyDescent="0.45">
      <c r="B9" s="15" t="s">
        <v>17</v>
      </c>
      <c r="C9" s="15"/>
      <c r="D9" s="15" t="s">
        <v>18</v>
      </c>
      <c r="E9" s="14" t="s">
        <v>5</v>
      </c>
      <c r="F9" s="16" t="s">
        <v>6</v>
      </c>
    </row>
    <row r="10" spans="1:34" x14ac:dyDescent="0.45">
      <c r="B10" s="15" t="s">
        <v>19</v>
      </c>
      <c r="C10" s="15"/>
      <c r="D10" s="15" t="s">
        <v>20</v>
      </c>
      <c r="E10" s="14" t="s">
        <v>5</v>
      </c>
      <c r="F10" s="16" t="s">
        <v>6</v>
      </c>
    </row>
    <row r="11" spans="1:34" x14ac:dyDescent="0.45">
      <c r="B11" s="15" t="s">
        <v>21</v>
      </c>
      <c r="C11" s="15"/>
      <c r="D11" s="15" t="s">
        <v>22</v>
      </c>
      <c r="E11" s="14" t="s">
        <v>5</v>
      </c>
      <c r="F11" s="16" t="s">
        <v>6</v>
      </c>
    </row>
    <row r="12" spans="1:34" x14ac:dyDescent="0.45">
      <c r="B12" s="15" t="s">
        <v>23</v>
      </c>
      <c r="C12" s="15"/>
      <c r="D12" s="15" t="s">
        <v>24</v>
      </c>
      <c r="E12" s="14" t="s">
        <v>5</v>
      </c>
      <c r="F12" s="16" t="s">
        <v>6</v>
      </c>
    </row>
    <row r="13" spans="1:34" x14ac:dyDescent="0.45">
      <c r="B13" s="15" t="s">
        <v>25</v>
      </c>
      <c r="C13" s="15"/>
      <c r="D13" s="15" t="s">
        <v>26</v>
      </c>
      <c r="E13" s="14" t="s">
        <v>5</v>
      </c>
      <c r="F13" s="16" t="s">
        <v>6</v>
      </c>
    </row>
    <row r="14" spans="1:34" x14ac:dyDescent="0.45">
      <c r="B14" s="15" t="s">
        <v>27</v>
      </c>
      <c r="C14" s="15"/>
      <c r="D14" s="15" t="s">
        <v>28</v>
      </c>
      <c r="E14" s="14" t="s">
        <v>5</v>
      </c>
      <c r="F14" s="16" t="s">
        <v>6</v>
      </c>
    </row>
    <row r="15" spans="1:34" ht="28.5" x14ac:dyDescent="0.45">
      <c r="B15" s="15" t="s">
        <v>29</v>
      </c>
      <c r="C15" s="15"/>
      <c r="D15" s="15" t="s">
        <v>30</v>
      </c>
      <c r="E15" s="14" t="s">
        <v>5</v>
      </c>
      <c r="F15" s="16" t="s">
        <v>6</v>
      </c>
    </row>
    <row r="16" spans="1:34" x14ac:dyDescent="0.45">
      <c r="B16" s="15" t="s">
        <v>31</v>
      </c>
      <c r="C16" s="15"/>
      <c r="D16" s="15" t="s">
        <v>32</v>
      </c>
      <c r="E16" s="14" t="s">
        <v>5</v>
      </c>
      <c r="F16" s="16" t="s">
        <v>6</v>
      </c>
    </row>
    <row r="17" spans="1:6" x14ac:dyDescent="0.45">
      <c r="B17" s="15" t="s">
        <v>33</v>
      </c>
      <c r="C17" s="15"/>
      <c r="D17" s="15" t="s">
        <v>34</v>
      </c>
      <c r="E17" s="14" t="s">
        <v>5</v>
      </c>
      <c r="F17" s="16" t="s">
        <v>6</v>
      </c>
    </row>
    <row r="18" spans="1:6" x14ac:dyDescent="0.45">
      <c r="B18" s="17" t="s">
        <v>35</v>
      </c>
      <c r="C18" s="17"/>
      <c r="D18" s="15" t="s">
        <v>36</v>
      </c>
      <c r="E18" s="14" t="s">
        <v>5</v>
      </c>
      <c r="F18" s="16" t="s">
        <v>6</v>
      </c>
    </row>
    <row r="19" spans="1:6" x14ac:dyDescent="0.45">
      <c r="B19" s="17" t="s">
        <v>37</v>
      </c>
      <c r="C19" s="17"/>
      <c r="D19" s="15" t="s">
        <v>38</v>
      </c>
      <c r="E19" s="14" t="s">
        <v>5</v>
      </c>
      <c r="F19" s="16" t="s">
        <v>6</v>
      </c>
    </row>
    <row r="20" spans="1:6" ht="28.5" x14ac:dyDescent="0.45">
      <c r="B20" s="17" t="s">
        <v>39</v>
      </c>
      <c r="C20" s="17"/>
      <c r="D20" s="15" t="s">
        <v>40</v>
      </c>
      <c r="E20" s="14" t="s">
        <v>5</v>
      </c>
      <c r="F20" s="16" t="s">
        <v>6</v>
      </c>
    </row>
    <row r="21" spans="1:6" x14ac:dyDescent="0.45">
      <c r="B21" s="17" t="s">
        <v>41</v>
      </c>
      <c r="C21" s="17"/>
      <c r="D21" s="15" t="s">
        <v>42</v>
      </c>
      <c r="E21" s="14" t="s">
        <v>5</v>
      </c>
      <c r="F21" s="16" t="s">
        <v>6</v>
      </c>
    </row>
    <row r="22" spans="1:6" ht="15.75" customHeight="1" x14ac:dyDescent="0.45">
      <c r="B22" s="17" t="s">
        <v>43</v>
      </c>
      <c r="C22" s="17"/>
      <c r="D22" s="15" t="s">
        <v>44</v>
      </c>
      <c r="E22" s="14" t="s">
        <v>5</v>
      </c>
      <c r="F22" s="16" t="s">
        <v>6</v>
      </c>
    </row>
    <row r="23" spans="1:6" x14ac:dyDescent="0.45">
      <c r="B23" s="17" t="s">
        <v>45</v>
      </c>
      <c r="C23" s="17"/>
      <c r="D23" s="15" t="s">
        <v>46</v>
      </c>
      <c r="E23" s="14" t="s">
        <v>5</v>
      </c>
      <c r="F23" s="16" t="s">
        <v>6</v>
      </c>
    </row>
    <row r="24" spans="1:6" x14ac:dyDescent="0.45">
      <c r="B24" s="17" t="s">
        <v>47</v>
      </c>
      <c r="C24" s="17"/>
      <c r="D24" s="15" t="s">
        <v>48</v>
      </c>
      <c r="E24" s="14" t="s">
        <v>5</v>
      </c>
      <c r="F24" s="16" t="s">
        <v>6</v>
      </c>
    </row>
    <row r="25" spans="1:6" x14ac:dyDescent="0.45">
      <c r="B25" s="17" t="s">
        <v>49</v>
      </c>
      <c r="C25" s="17"/>
      <c r="D25" s="15" t="s">
        <v>50</v>
      </c>
      <c r="E25" s="14" t="s">
        <v>5</v>
      </c>
      <c r="F25" s="16" t="s">
        <v>6</v>
      </c>
    </row>
    <row r="26" spans="1:6" x14ac:dyDescent="0.45">
      <c r="B26" s="15" t="s">
        <v>51</v>
      </c>
      <c r="C26" s="15" t="s">
        <v>52</v>
      </c>
      <c r="D26" s="15" t="s">
        <v>53</v>
      </c>
      <c r="E26" s="14" t="s">
        <v>5</v>
      </c>
      <c r="F26" s="16" t="s">
        <v>6</v>
      </c>
    </row>
    <row r="27" spans="1:6" x14ac:dyDescent="0.45">
      <c r="A27" s="14" t="s">
        <v>55</v>
      </c>
      <c r="B27" s="15" t="s">
        <v>54</v>
      </c>
      <c r="C27" s="15"/>
      <c r="D27" s="15" t="s">
        <v>56</v>
      </c>
      <c r="E27" s="14" t="s">
        <v>5</v>
      </c>
      <c r="F27" s="16"/>
    </row>
    <row r="28" spans="1:6" x14ac:dyDescent="0.45">
      <c r="A28" s="14" t="s">
        <v>58</v>
      </c>
      <c r="B28" s="15" t="s">
        <v>57</v>
      </c>
      <c r="C28" s="15"/>
      <c r="D28" s="15" t="s">
        <v>59</v>
      </c>
      <c r="E28" s="14" t="s">
        <v>5</v>
      </c>
      <c r="F28" s="16"/>
    </row>
    <row r="29" spans="1:6" ht="28.5" x14ac:dyDescent="0.45">
      <c r="A29" s="14" t="s">
        <v>61</v>
      </c>
      <c r="B29" s="15" t="s">
        <v>60</v>
      </c>
      <c r="C29" s="15"/>
      <c r="D29" s="15" t="s">
        <v>62</v>
      </c>
      <c r="E29" s="14" t="s">
        <v>5</v>
      </c>
      <c r="F29" s="16"/>
    </row>
    <row r="30" spans="1:6" x14ac:dyDescent="0.45">
      <c r="A30" s="14" t="s">
        <v>63</v>
      </c>
      <c r="B30" s="15" t="s">
        <v>64</v>
      </c>
      <c r="C30" s="15"/>
      <c r="D30" s="15" t="s">
        <v>65</v>
      </c>
      <c r="E30" s="14" t="s">
        <v>5</v>
      </c>
      <c r="F30" s="16"/>
    </row>
    <row r="31" spans="1:6" x14ac:dyDescent="0.45">
      <c r="A31" s="14" t="s">
        <v>67</v>
      </c>
      <c r="B31" s="15" t="s">
        <v>66</v>
      </c>
      <c r="C31" s="15"/>
      <c r="D31" s="15" t="s">
        <v>68</v>
      </c>
      <c r="E31" s="14" t="s">
        <v>5</v>
      </c>
      <c r="F31" s="16"/>
    </row>
    <row r="32" spans="1:6" x14ac:dyDescent="0.45">
      <c r="A32" s="14" t="s">
        <v>70</v>
      </c>
      <c r="B32" s="15" t="s">
        <v>69</v>
      </c>
      <c r="C32" s="15"/>
      <c r="D32" s="15" t="s">
        <v>71</v>
      </c>
      <c r="E32" s="14" t="s">
        <v>5</v>
      </c>
      <c r="F32" s="16"/>
    </row>
    <row r="33" spans="1:6" x14ac:dyDescent="0.45">
      <c r="A33" s="14" t="s">
        <v>73</v>
      </c>
      <c r="B33" s="15" t="s">
        <v>72</v>
      </c>
      <c r="C33" s="15"/>
      <c r="D33" s="15" t="s">
        <v>74</v>
      </c>
      <c r="E33" s="14" t="s">
        <v>5</v>
      </c>
      <c r="F33" s="16"/>
    </row>
    <row r="34" spans="1:6" x14ac:dyDescent="0.45">
      <c r="A34" s="14" t="s">
        <v>76</v>
      </c>
      <c r="B34" s="15" t="s">
        <v>75</v>
      </c>
      <c r="C34" s="15"/>
      <c r="D34" s="15" t="s">
        <v>77</v>
      </c>
      <c r="E34" s="14" t="s">
        <v>5</v>
      </c>
      <c r="F34" s="16"/>
    </row>
    <row r="35" spans="1:6" x14ac:dyDescent="0.45">
      <c r="A35" s="14" t="s">
        <v>79</v>
      </c>
      <c r="B35" s="15" t="s">
        <v>78</v>
      </c>
      <c r="C35" s="15"/>
      <c r="D35" s="15" t="s">
        <v>80</v>
      </c>
      <c r="E35" s="14" t="s">
        <v>5</v>
      </c>
      <c r="F35" s="16"/>
    </row>
    <row r="36" spans="1:6" x14ac:dyDescent="0.45">
      <c r="B36" s="15" t="s">
        <v>81</v>
      </c>
      <c r="C36" s="15"/>
      <c r="D36" s="15" t="s">
        <v>82</v>
      </c>
      <c r="E36" s="14" t="s">
        <v>5</v>
      </c>
      <c r="F36" s="16"/>
    </row>
    <row r="37" spans="1:6" hidden="1" x14ac:dyDescent="0.45">
      <c r="B37" s="15" t="s">
        <v>83</v>
      </c>
      <c r="C37" s="15"/>
      <c r="D37" s="15" t="s">
        <v>84</v>
      </c>
      <c r="E37" s="14" t="s">
        <v>5</v>
      </c>
      <c r="F37" s="16"/>
    </row>
    <row r="38" spans="1:6" ht="28.5" x14ac:dyDescent="0.45">
      <c r="B38" s="15" t="s">
        <v>85</v>
      </c>
      <c r="C38" s="15"/>
      <c r="D38" s="15" t="s">
        <v>86</v>
      </c>
      <c r="E38" s="14" t="s">
        <v>5</v>
      </c>
      <c r="F38" s="16"/>
    </row>
    <row r="39" spans="1:6" x14ac:dyDescent="0.45">
      <c r="B39" s="15" t="s">
        <v>87</v>
      </c>
      <c r="C39" s="15"/>
      <c r="D39" s="15" t="s">
        <v>88</v>
      </c>
      <c r="E39" s="14" t="s">
        <v>5</v>
      </c>
      <c r="F39" s="16"/>
    </row>
    <row r="40" spans="1:6" x14ac:dyDescent="0.45">
      <c r="B40" s="15" t="s">
        <v>89</v>
      </c>
      <c r="C40" s="15"/>
      <c r="D40" s="15" t="s">
        <v>90</v>
      </c>
      <c r="E40" s="14" t="s">
        <v>5</v>
      </c>
      <c r="F40" s="16"/>
    </row>
    <row r="41" spans="1:6" x14ac:dyDescent="0.45">
      <c r="B41" s="18" t="s">
        <v>91</v>
      </c>
      <c r="C41" s="18"/>
      <c r="F41" s="16"/>
    </row>
    <row r="42" spans="1:6" x14ac:dyDescent="0.45">
      <c r="B42" s="19" t="s">
        <v>92</v>
      </c>
      <c r="C42" s="19"/>
      <c r="F42" s="16"/>
    </row>
    <row r="43" spans="1:6" s="20" customFormat="1" x14ac:dyDescent="0.45">
      <c r="A43" s="15"/>
      <c r="B43" s="19" t="s">
        <v>93</v>
      </c>
      <c r="C43" s="19"/>
      <c r="D43" s="15"/>
      <c r="E43" s="14"/>
      <c r="F43" s="16"/>
    </row>
    <row r="44" spans="1:6" s="20" customFormat="1" ht="28.5" x14ac:dyDescent="0.45">
      <c r="A44" s="15"/>
      <c r="B44" s="19" t="s">
        <v>94</v>
      </c>
      <c r="C44" s="19"/>
      <c r="D44" s="15"/>
      <c r="E44" s="14"/>
      <c r="F44" s="16"/>
    </row>
    <row r="45" spans="1:6" s="20" customFormat="1" x14ac:dyDescent="0.45">
      <c r="A45" s="15"/>
      <c r="B45" s="19" t="s">
        <v>95</v>
      </c>
      <c r="C45" s="19"/>
      <c r="D45" s="15"/>
      <c r="E45" s="14"/>
      <c r="F45" s="16"/>
    </row>
    <row r="46" spans="1:6" x14ac:dyDescent="0.45">
      <c r="B46" s="19" t="s">
        <v>96</v>
      </c>
      <c r="C46" s="19"/>
      <c r="F46" s="16"/>
    </row>
    <row r="47" spans="1:6" x14ac:dyDescent="0.45">
      <c r="B47" s="19" t="s">
        <v>97</v>
      </c>
      <c r="C47" s="19"/>
      <c r="F47" s="16"/>
    </row>
    <row r="48" spans="1:6" ht="28.5" x14ac:dyDescent="0.45">
      <c r="B48" s="19" t="s">
        <v>98</v>
      </c>
      <c r="C48" s="19"/>
      <c r="F48" s="16"/>
    </row>
    <row r="49" spans="1:6" ht="28.5" x14ac:dyDescent="0.45">
      <c r="A49" s="14" t="s">
        <v>99</v>
      </c>
      <c r="B49" s="19" t="s">
        <v>100</v>
      </c>
      <c r="C49" s="19"/>
      <c r="F49" s="16"/>
    </row>
    <row r="50" spans="1:6" x14ac:dyDescent="0.45">
      <c r="A50" s="14"/>
      <c r="B50" s="19" t="s">
        <v>101</v>
      </c>
      <c r="C50" s="19"/>
      <c r="F50" s="16"/>
    </row>
    <row r="51" spans="1:6" ht="28.5" x14ac:dyDescent="0.45">
      <c r="A51" s="14"/>
      <c r="B51" s="15" t="s">
        <v>102</v>
      </c>
      <c r="C51" s="15"/>
      <c r="F51" s="16"/>
    </row>
    <row r="52" spans="1:6" ht="42.75" x14ac:dyDescent="0.45">
      <c r="A52" s="14"/>
      <c r="B52" s="21" t="s">
        <v>103</v>
      </c>
      <c r="C52" s="21"/>
      <c r="F52" s="16"/>
    </row>
    <row r="53" spans="1:6" ht="28.5" x14ac:dyDescent="0.45">
      <c r="A53" s="14"/>
      <c r="B53" s="21" t="s">
        <v>104</v>
      </c>
      <c r="C53" s="21"/>
      <c r="F53" s="16"/>
    </row>
    <row r="54" spans="1:6" x14ac:dyDescent="0.45">
      <c r="A54" s="14" t="s">
        <v>105</v>
      </c>
      <c r="B54" s="15" t="s">
        <v>106</v>
      </c>
      <c r="C54" s="15"/>
      <c r="F54" s="16"/>
    </row>
    <row r="55" spans="1:6" s="20" customFormat="1" x14ac:dyDescent="0.45">
      <c r="A55" s="14" t="s">
        <v>107</v>
      </c>
      <c r="B55" s="15" t="s">
        <v>108</v>
      </c>
      <c r="C55" s="15"/>
      <c r="D55" s="15"/>
      <c r="E55" s="14"/>
      <c r="F55" s="16"/>
    </row>
    <row r="56" spans="1:6" x14ac:dyDescent="0.45">
      <c r="B56" s="15" t="s">
        <v>109</v>
      </c>
      <c r="C56" s="15"/>
      <c r="F56" s="16"/>
    </row>
    <row r="57" spans="1:6" x14ac:dyDescent="0.45">
      <c r="B57" s="17" t="s">
        <v>110</v>
      </c>
      <c r="C57" s="17"/>
      <c r="F57" s="16"/>
    </row>
    <row r="58" spans="1:6" x14ac:dyDescent="0.45">
      <c r="B58" s="15" t="s">
        <v>111</v>
      </c>
      <c r="C58" s="15"/>
      <c r="F58" s="16"/>
    </row>
    <row r="59" spans="1:6" ht="42.75" x14ac:dyDescent="0.45">
      <c r="A59" s="14" t="s">
        <v>112</v>
      </c>
      <c r="B59" s="15" t="s">
        <v>113</v>
      </c>
      <c r="C59" s="15" t="s">
        <v>114</v>
      </c>
      <c r="F59" s="16"/>
    </row>
    <row r="60" spans="1:6" s="20" customFormat="1" ht="28.5" x14ac:dyDescent="0.45">
      <c r="A60" s="14" t="s">
        <v>115</v>
      </c>
      <c r="B60" s="19" t="s">
        <v>116</v>
      </c>
      <c r="C60" s="19"/>
      <c r="D60" s="15"/>
      <c r="E60" s="14"/>
      <c r="F60" s="16"/>
    </row>
    <row r="61" spans="1:6" s="20" customFormat="1" x14ac:dyDescent="0.45">
      <c r="A61" s="14" t="s">
        <v>118</v>
      </c>
      <c r="B61" s="15" t="s">
        <v>117</v>
      </c>
      <c r="C61" s="15"/>
      <c r="D61" s="15"/>
      <c r="E61" s="14"/>
      <c r="F61" s="16"/>
    </row>
    <row r="62" spans="1:6" s="20" customFormat="1" ht="28.5" x14ac:dyDescent="0.45">
      <c r="A62" s="14"/>
      <c r="B62" s="19" t="s">
        <v>119</v>
      </c>
      <c r="C62" s="19"/>
      <c r="D62" s="15"/>
      <c r="E62" s="14"/>
      <c r="F62" s="16"/>
    </row>
    <row r="63" spans="1:6" s="20" customFormat="1" ht="28.5" x14ac:dyDescent="0.45">
      <c r="A63" s="14" t="s">
        <v>121</v>
      </c>
      <c r="B63" s="15" t="s">
        <v>120</v>
      </c>
      <c r="C63" s="15" t="s">
        <v>122</v>
      </c>
      <c r="D63" s="15"/>
      <c r="E63" s="14"/>
      <c r="F63" s="16"/>
    </row>
    <row r="64" spans="1:6" s="20" customFormat="1" x14ac:dyDescent="0.45">
      <c r="B64" s="19" t="s">
        <v>123</v>
      </c>
      <c r="D64" s="15"/>
      <c r="E64" s="14"/>
      <c r="F64" s="16"/>
    </row>
    <row r="65" spans="1:6" s="20" customFormat="1" x14ac:dyDescent="0.45">
      <c r="B65" s="19" t="s">
        <v>124</v>
      </c>
      <c r="D65" s="15"/>
      <c r="E65" s="14"/>
      <c r="F65" s="16"/>
    </row>
    <row r="66" spans="1:6" s="20" customFormat="1" ht="28.5" x14ac:dyDescent="0.45">
      <c r="B66" s="19" t="s">
        <v>125</v>
      </c>
      <c r="C66" s="15" t="s">
        <v>126</v>
      </c>
      <c r="D66" s="15"/>
      <c r="E66" s="14"/>
      <c r="F66" s="16"/>
    </row>
    <row r="67" spans="1:6" s="20" customFormat="1" x14ac:dyDescent="0.45">
      <c r="B67" s="19" t="s">
        <v>127</v>
      </c>
      <c r="D67" s="15"/>
      <c r="E67" s="14"/>
      <c r="F67" s="16"/>
    </row>
    <row r="68" spans="1:6" s="20" customFormat="1" x14ac:dyDescent="0.45">
      <c r="B68" s="19" t="s">
        <v>128</v>
      </c>
      <c r="C68" s="19"/>
      <c r="D68" s="15"/>
      <c r="E68" s="14"/>
      <c r="F68" s="16"/>
    </row>
    <row r="69" spans="1:6" s="20" customFormat="1" x14ac:dyDescent="0.45">
      <c r="A69" s="15"/>
      <c r="B69" s="15" t="s">
        <v>129</v>
      </c>
      <c r="C69" s="15"/>
      <c r="D69" s="15"/>
      <c r="E69" s="14"/>
      <c r="F69" s="16"/>
    </row>
    <row r="70" spans="1:6" s="20" customFormat="1" x14ac:dyDescent="0.45">
      <c r="A70" s="14" t="s">
        <v>131</v>
      </c>
      <c r="B70" s="15" t="s">
        <v>130</v>
      </c>
      <c r="C70" s="15" t="s">
        <v>132</v>
      </c>
      <c r="D70" s="15"/>
      <c r="E70" s="14"/>
      <c r="F70" s="16"/>
    </row>
    <row r="71" spans="1:6" s="20" customFormat="1" x14ac:dyDescent="0.45">
      <c r="A71" s="14" t="s">
        <v>134</v>
      </c>
      <c r="B71" s="15" t="s">
        <v>133</v>
      </c>
      <c r="C71" s="15"/>
      <c r="D71" s="15"/>
      <c r="E71" s="14"/>
      <c r="F71" s="16"/>
    </row>
    <row r="72" spans="1:6" s="20" customFormat="1" ht="28.5" x14ac:dyDescent="0.45">
      <c r="A72" s="14"/>
      <c r="B72" s="15" t="s">
        <v>135</v>
      </c>
      <c r="C72" s="15" t="s">
        <v>136</v>
      </c>
      <c r="D72" s="15"/>
      <c r="E72" s="14"/>
      <c r="F72" s="16"/>
    </row>
    <row r="73" spans="1:6" s="20" customFormat="1" x14ac:dyDescent="0.45">
      <c r="A73" s="14" t="s">
        <v>138</v>
      </c>
      <c r="B73" s="15" t="s">
        <v>137</v>
      </c>
      <c r="C73" s="15"/>
      <c r="D73" s="15"/>
      <c r="E73" s="14"/>
      <c r="F73" s="16"/>
    </row>
    <row r="74" spans="1:6" s="20" customFormat="1" x14ac:dyDescent="0.45">
      <c r="A74" s="14" t="s">
        <v>140</v>
      </c>
      <c r="B74" s="15" t="s">
        <v>139</v>
      </c>
      <c r="C74" s="15"/>
      <c r="D74" s="15"/>
      <c r="E74" s="14"/>
      <c r="F74" s="16"/>
    </row>
    <row r="75" spans="1:6" s="20" customFormat="1" ht="28.5" x14ac:dyDescent="0.45">
      <c r="A75" s="14" t="s">
        <v>142</v>
      </c>
      <c r="B75" s="15" t="s">
        <v>141</v>
      </c>
      <c r="C75" s="15" t="s">
        <v>143</v>
      </c>
      <c r="D75" s="15"/>
      <c r="E75" s="14"/>
      <c r="F75" s="16"/>
    </row>
    <row r="76" spans="1:6" s="20" customFormat="1" ht="42.75" x14ac:dyDescent="0.45">
      <c r="A76" s="14" t="s">
        <v>144</v>
      </c>
      <c r="B76" s="15" t="s">
        <v>145</v>
      </c>
      <c r="C76" s="15" t="s">
        <v>146</v>
      </c>
      <c r="D76" s="15"/>
      <c r="E76" s="14"/>
      <c r="F76" s="16"/>
    </row>
    <row r="77" spans="1:6" s="20" customFormat="1" ht="28.5" x14ac:dyDescent="0.45">
      <c r="A77" s="14" t="s">
        <v>147</v>
      </c>
      <c r="B77" s="15" t="s">
        <v>148</v>
      </c>
      <c r="C77" s="15" t="s">
        <v>149</v>
      </c>
      <c r="D77" s="15"/>
      <c r="E77" s="14"/>
      <c r="F77" s="16"/>
    </row>
    <row r="78" spans="1:6" s="20" customFormat="1" ht="28.5" x14ac:dyDescent="0.45">
      <c r="A78" s="21"/>
      <c r="B78" s="21" t="s">
        <v>150</v>
      </c>
      <c r="C78" s="22"/>
      <c r="D78" s="15"/>
      <c r="E78" s="14"/>
      <c r="F78" s="16"/>
    </row>
    <row r="79" spans="1:6" s="20" customFormat="1" ht="28.5" x14ac:dyDescent="0.45">
      <c r="A79" s="15"/>
      <c r="B79" s="23" t="s">
        <v>151</v>
      </c>
      <c r="C79" s="24" t="s">
        <v>152</v>
      </c>
      <c r="D79" s="15"/>
      <c r="E79" s="14"/>
      <c r="F79" s="16"/>
    </row>
    <row r="80" spans="1:6" s="20" customFormat="1" x14ac:dyDescent="0.45">
      <c r="A80" s="15"/>
      <c r="B80" s="23" t="s">
        <v>153</v>
      </c>
      <c r="C80" s="24" t="s">
        <v>154</v>
      </c>
      <c r="D80" s="15"/>
      <c r="E80" s="14"/>
      <c r="F80" s="16"/>
    </row>
    <row r="81" spans="1:6" s="20" customFormat="1" x14ac:dyDescent="0.45">
      <c r="A81" s="15"/>
      <c r="B81" s="15" t="s">
        <v>155</v>
      </c>
      <c r="C81" s="15"/>
      <c r="D81" s="15"/>
      <c r="E81" s="14"/>
      <c r="F81" s="16"/>
    </row>
    <row r="82" spans="1:6" s="20" customFormat="1" x14ac:dyDescent="0.45">
      <c r="A82" s="15"/>
      <c r="B82" s="15" t="s">
        <v>156</v>
      </c>
      <c r="C82" s="15"/>
      <c r="D82" s="15"/>
      <c r="E82" s="14"/>
      <c r="F82" s="16"/>
    </row>
    <row r="83" spans="1:6" s="20" customFormat="1" x14ac:dyDescent="0.45">
      <c r="A83" s="15"/>
      <c r="B83" s="15" t="s">
        <v>157</v>
      </c>
      <c r="C83" s="15"/>
      <c r="D83" s="15"/>
      <c r="E83" s="14"/>
      <c r="F83" s="16"/>
    </row>
    <row r="84" spans="1:6" s="20" customFormat="1" x14ac:dyDescent="0.45">
      <c r="A84" s="15"/>
      <c r="B84" s="15" t="s">
        <v>158</v>
      </c>
      <c r="C84" s="15"/>
      <c r="D84" s="15"/>
      <c r="E84" s="14"/>
      <c r="F84" s="16"/>
    </row>
    <row r="85" spans="1:6" s="20" customFormat="1" x14ac:dyDescent="0.45">
      <c r="A85" s="15"/>
      <c r="B85" s="15" t="s">
        <v>159</v>
      </c>
      <c r="C85" s="15"/>
      <c r="D85" s="15"/>
      <c r="E85" s="14"/>
      <c r="F85" s="16"/>
    </row>
    <row r="86" spans="1:6" s="20" customFormat="1" x14ac:dyDescent="0.45">
      <c r="A86" s="15"/>
      <c r="B86" s="15" t="s">
        <v>160</v>
      </c>
      <c r="C86" s="15"/>
      <c r="D86" s="15"/>
      <c r="E86" s="14"/>
      <c r="F86" s="16"/>
    </row>
    <row r="87" spans="1:6" s="20" customFormat="1" x14ac:dyDescent="0.45">
      <c r="A87" s="15"/>
      <c r="B87" s="15" t="s">
        <v>161</v>
      </c>
      <c r="C87" s="15"/>
      <c r="D87" s="15"/>
      <c r="E87" s="14"/>
      <c r="F87" s="16"/>
    </row>
    <row r="88" spans="1:6" s="20" customFormat="1" x14ac:dyDescent="0.45">
      <c r="A88" s="15"/>
      <c r="B88" s="15" t="s">
        <v>162</v>
      </c>
      <c r="C88" s="15"/>
      <c r="D88" s="15"/>
      <c r="E88" s="14"/>
      <c r="F88" s="16"/>
    </row>
    <row r="89" spans="1:6" s="20" customFormat="1" ht="28.5" x14ac:dyDescent="0.45">
      <c r="A89" s="15"/>
      <c r="B89" s="15" t="s">
        <v>163</v>
      </c>
      <c r="C89" s="15"/>
      <c r="D89" s="15"/>
      <c r="E89" s="14"/>
      <c r="F89" s="16"/>
    </row>
    <row r="90" spans="1:6" s="20" customFormat="1" x14ac:dyDescent="0.45">
      <c r="A90" s="15"/>
      <c r="B90" s="21" t="s">
        <v>164</v>
      </c>
      <c r="C90" s="21"/>
      <c r="F90" s="25"/>
    </row>
    <row r="91" spans="1:6" s="20" customFormat="1" x14ac:dyDescent="0.45">
      <c r="A91" s="15"/>
      <c r="B91" s="17" t="s">
        <v>165</v>
      </c>
      <c r="C91" s="17"/>
      <c r="D91" s="15"/>
      <c r="E91" s="14"/>
      <c r="F91" s="16"/>
    </row>
    <row r="92" spans="1:6" s="20" customFormat="1" x14ac:dyDescent="0.45">
      <c r="A92" s="15"/>
      <c r="B92" s="17" t="s">
        <v>166</v>
      </c>
      <c r="C92" s="17"/>
      <c r="D92" s="15"/>
      <c r="E92" s="14"/>
      <c r="F92" s="16"/>
    </row>
    <row r="93" spans="1:6" s="20" customFormat="1" x14ac:dyDescent="0.45">
      <c r="A93" s="15"/>
      <c r="B93" s="17" t="s">
        <v>167</v>
      </c>
      <c r="C93" s="17"/>
      <c r="D93" s="15"/>
      <c r="E93" s="14"/>
      <c r="F93" s="16"/>
    </row>
    <row r="94" spans="1:6" s="20" customFormat="1" x14ac:dyDescent="0.45">
      <c r="A94" s="15"/>
      <c r="B94" s="15" t="s">
        <v>168</v>
      </c>
      <c r="C94" s="15"/>
      <c r="D94" s="15"/>
      <c r="E94" s="14"/>
      <c r="F94" s="16"/>
    </row>
    <row r="95" spans="1:6" s="20" customFormat="1" x14ac:dyDescent="0.45">
      <c r="A95" s="15"/>
      <c r="B95" s="26" t="s">
        <v>169</v>
      </c>
      <c r="C95" s="26" t="s">
        <v>170</v>
      </c>
      <c r="D95" s="15"/>
      <c r="E95" s="14"/>
      <c r="F95" s="16"/>
    </row>
    <row r="96" spans="1:6" s="20" customFormat="1" ht="28.5" x14ac:dyDescent="0.45">
      <c r="A96" s="15"/>
      <c r="B96" s="17" t="s">
        <v>171</v>
      </c>
      <c r="C96" s="17" t="s">
        <v>172</v>
      </c>
      <c r="D96" s="15"/>
      <c r="E96" s="14"/>
      <c r="F96" s="16"/>
    </row>
    <row r="97" spans="1:6" s="20" customFormat="1" ht="42.75" x14ac:dyDescent="0.45">
      <c r="A97" s="15"/>
      <c r="B97" s="17" t="s">
        <v>173</v>
      </c>
      <c r="C97" s="17" t="s">
        <v>174</v>
      </c>
      <c r="D97" s="15"/>
      <c r="E97" s="14"/>
      <c r="F97" s="16"/>
    </row>
    <row r="98" spans="1:6" s="20" customFormat="1" ht="42.75" x14ac:dyDescent="0.45">
      <c r="A98" s="15"/>
      <c r="B98" s="17" t="s">
        <v>175</v>
      </c>
      <c r="C98" s="17" t="s">
        <v>176</v>
      </c>
      <c r="D98" s="15"/>
      <c r="E98" s="14"/>
      <c r="F98" s="16"/>
    </row>
    <row r="99" spans="1:6" s="20" customFormat="1" ht="28.5" x14ac:dyDescent="0.45">
      <c r="A99" s="15"/>
      <c r="B99" s="27" t="s">
        <v>177</v>
      </c>
      <c r="C99" s="27" t="s">
        <v>178</v>
      </c>
      <c r="D99" s="15"/>
      <c r="E99" s="14"/>
      <c r="F99" s="16" t="s">
        <v>6</v>
      </c>
    </row>
    <row r="100" spans="1:6" s="20" customFormat="1" ht="28.5" x14ac:dyDescent="0.45">
      <c r="A100" s="15"/>
      <c r="B100" s="17" t="s">
        <v>179</v>
      </c>
      <c r="C100" s="17" t="s">
        <v>180</v>
      </c>
      <c r="D100" s="15"/>
      <c r="E100" s="14"/>
      <c r="F100" s="16"/>
    </row>
    <row r="101" spans="1:6" s="20" customFormat="1" ht="28.5" x14ac:dyDescent="0.45">
      <c r="A101" s="15"/>
      <c r="B101" s="17" t="s">
        <v>181</v>
      </c>
      <c r="C101" s="17" t="s">
        <v>182</v>
      </c>
      <c r="D101" s="15"/>
      <c r="E101" s="14"/>
      <c r="F101" s="16"/>
    </row>
    <row r="102" spans="1:6" s="20" customFormat="1" x14ac:dyDescent="0.45">
      <c r="A102" s="15"/>
      <c r="B102" s="17" t="s">
        <v>183</v>
      </c>
      <c r="C102" s="17" t="s">
        <v>184</v>
      </c>
      <c r="D102" s="15"/>
      <c r="E102" s="14"/>
      <c r="F102" s="16"/>
    </row>
    <row r="103" spans="1:6" s="20" customFormat="1" ht="28.5" x14ac:dyDescent="0.45">
      <c r="A103" s="15"/>
      <c r="B103" s="17" t="s">
        <v>185</v>
      </c>
      <c r="C103" s="17" t="s">
        <v>186</v>
      </c>
      <c r="D103" s="15"/>
      <c r="E103" s="14"/>
      <c r="F103" s="16"/>
    </row>
    <row r="104" spans="1:6" s="20" customFormat="1" ht="42.75" x14ac:dyDescent="0.45">
      <c r="A104" s="15"/>
      <c r="B104" s="17" t="s">
        <v>187</v>
      </c>
      <c r="C104" s="17" t="s">
        <v>188</v>
      </c>
      <c r="D104" s="15"/>
      <c r="E104" s="14"/>
      <c r="F104" s="16"/>
    </row>
    <row r="105" spans="1:6" s="20" customFormat="1" x14ac:dyDescent="0.45">
      <c r="A105" s="15"/>
      <c r="B105" s="27" t="s">
        <v>189</v>
      </c>
      <c r="C105" s="27"/>
      <c r="D105" s="15"/>
      <c r="E105" s="14"/>
      <c r="F105" s="16"/>
    </row>
    <row r="106" spans="1:6" s="20" customFormat="1" x14ac:dyDescent="0.45">
      <c r="A106" s="15"/>
      <c r="B106" s="27" t="s">
        <v>190</v>
      </c>
      <c r="C106" s="27" t="s">
        <v>191</v>
      </c>
      <c r="D106" s="15"/>
      <c r="E106" s="14"/>
      <c r="F106" s="16"/>
    </row>
    <row r="107" spans="1:6" s="20" customFormat="1" ht="28.5" x14ac:dyDescent="0.45">
      <c r="A107" s="15"/>
      <c r="B107" s="17" t="s">
        <v>192</v>
      </c>
      <c r="C107" s="17" t="s">
        <v>193</v>
      </c>
      <c r="D107" s="15"/>
      <c r="E107" s="14"/>
      <c r="F107" s="16"/>
    </row>
    <row r="108" spans="1:6" s="20" customFormat="1" ht="28.5" x14ac:dyDescent="0.45">
      <c r="A108" s="15"/>
      <c r="B108" s="17" t="s">
        <v>194</v>
      </c>
      <c r="C108" s="17" t="s">
        <v>195</v>
      </c>
      <c r="D108" s="15"/>
      <c r="E108" s="14"/>
      <c r="F108" s="16"/>
    </row>
    <row r="109" spans="1:6" s="20" customFormat="1" x14ac:dyDescent="0.45">
      <c r="A109" s="15"/>
      <c r="B109" s="28" t="s">
        <v>196</v>
      </c>
      <c r="C109" s="27" t="s">
        <v>191</v>
      </c>
      <c r="D109" s="15"/>
      <c r="E109" s="14"/>
      <c r="F109" s="16"/>
    </row>
    <row r="110" spans="1:6" s="20" customFormat="1" ht="28.5" x14ac:dyDescent="0.45">
      <c r="A110" s="15"/>
      <c r="B110" s="17" t="s">
        <v>197</v>
      </c>
      <c r="C110" s="17" t="s">
        <v>193</v>
      </c>
      <c r="D110" s="15"/>
      <c r="E110" s="14"/>
      <c r="F110" s="16"/>
    </row>
    <row r="111" spans="1:6" s="20" customFormat="1" ht="28.5" x14ac:dyDescent="0.45">
      <c r="A111" s="15"/>
      <c r="B111" s="24" t="s">
        <v>198</v>
      </c>
      <c r="C111" s="17" t="s">
        <v>199</v>
      </c>
      <c r="D111" s="15"/>
      <c r="E111" s="14"/>
      <c r="F111" s="16"/>
    </row>
    <row r="112" spans="1:6" s="20" customFormat="1" ht="28.5" x14ac:dyDescent="0.45">
      <c r="A112" s="15"/>
      <c r="B112" s="24" t="s">
        <v>200</v>
      </c>
      <c r="C112" s="24"/>
      <c r="D112" s="15"/>
      <c r="E112" s="14"/>
      <c r="F112" s="16"/>
    </row>
    <row r="113" spans="1:10" s="20" customFormat="1" ht="42.75" x14ac:dyDescent="0.45">
      <c r="A113" s="15"/>
      <c r="B113" s="17" t="s">
        <v>201</v>
      </c>
      <c r="C113" s="17" t="s">
        <v>202</v>
      </c>
      <c r="D113" s="15"/>
      <c r="E113" s="14"/>
      <c r="F113" s="16"/>
    </row>
    <row r="114" spans="1:10" s="20" customFormat="1" x14ac:dyDescent="0.45">
      <c r="A114" s="15"/>
      <c r="B114" s="27" t="s">
        <v>203</v>
      </c>
      <c r="C114" s="17"/>
      <c r="D114" s="15"/>
      <c r="E114" s="14"/>
      <c r="F114" s="16"/>
    </row>
    <row r="115" spans="1:10" s="20" customFormat="1" x14ac:dyDescent="0.45">
      <c r="A115" s="15"/>
      <c r="B115" s="27" t="s">
        <v>205</v>
      </c>
      <c r="C115" s="27" t="s">
        <v>204</v>
      </c>
      <c r="D115" s="15"/>
      <c r="E115" s="14"/>
      <c r="F115" s="16"/>
    </row>
    <row r="116" spans="1:10" s="20" customFormat="1" ht="28.5" x14ac:dyDescent="0.45">
      <c r="A116" s="15"/>
      <c r="B116" s="24" t="s">
        <v>206</v>
      </c>
      <c r="C116" s="17" t="s">
        <v>207</v>
      </c>
      <c r="D116" s="15"/>
      <c r="E116" s="14"/>
      <c r="F116" s="16"/>
    </row>
    <row r="117" spans="1:10" s="20" customFormat="1" ht="28.5" x14ac:dyDescent="0.45">
      <c r="A117" s="15"/>
      <c r="B117" s="17" t="s">
        <v>208</v>
      </c>
      <c r="C117" s="17" t="s">
        <v>209</v>
      </c>
      <c r="D117" s="15"/>
      <c r="E117" s="14"/>
      <c r="F117" s="16"/>
    </row>
    <row r="118" spans="1:10" s="20" customFormat="1" x14ac:dyDescent="0.45">
      <c r="A118" s="15"/>
      <c r="B118" s="17" t="s">
        <v>210</v>
      </c>
      <c r="C118" s="17"/>
      <c r="D118" s="15"/>
      <c r="E118" s="14"/>
      <c r="F118" s="16"/>
    </row>
    <row r="119" spans="1:10" s="20" customFormat="1" x14ac:dyDescent="0.45">
      <c r="A119" s="15"/>
      <c r="B119" s="17" t="s">
        <v>211</v>
      </c>
      <c r="C119" s="17"/>
      <c r="D119" s="15"/>
      <c r="E119" s="14"/>
      <c r="F119" s="16"/>
    </row>
    <row r="120" spans="1:10" s="20" customFormat="1" x14ac:dyDescent="0.45">
      <c r="A120" s="15"/>
      <c r="B120" s="17" t="s">
        <v>212</v>
      </c>
      <c r="C120" s="17"/>
      <c r="D120" s="15"/>
      <c r="E120" s="14"/>
      <c r="F120" s="16"/>
    </row>
    <row r="121" spans="1:10" s="20" customFormat="1" x14ac:dyDescent="0.45">
      <c r="A121" s="15"/>
      <c r="B121" s="17" t="s">
        <v>213</v>
      </c>
      <c r="C121" s="17"/>
      <c r="D121" s="15"/>
      <c r="E121" s="14"/>
      <c r="F121" s="16"/>
    </row>
    <row r="122" spans="1:10" s="20" customFormat="1" x14ac:dyDescent="0.45">
      <c r="A122" s="15"/>
      <c r="B122" s="24" t="s">
        <v>214</v>
      </c>
      <c r="C122" s="23"/>
      <c r="D122" s="15"/>
      <c r="E122" s="14"/>
      <c r="F122" s="16"/>
    </row>
    <row r="123" spans="1:10" s="20" customFormat="1" x14ac:dyDescent="0.45">
      <c r="A123" s="15"/>
      <c r="B123" s="24" t="s">
        <v>215</v>
      </c>
      <c r="C123" s="23"/>
      <c r="D123" s="15"/>
      <c r="E123" s="14"/>
      <c r="F123" s="16"/>
    </row>
    <row r="124" spans="1:10" s="20" customFormat="1" x14ac:dyDescent="0.45">
      <c r="A124" s="15"/>
      <c r="B124" s="23" t="s">
        <v>216</v>
      </c>
      <c r="C124" s="24" t="s">
        <v>217</v>
      </c>
      <c r="D124" s="15"/>
      <c r="E124" s="14"/>
      <c r="F124" s="16"/>
    </row>
    <row r="125" spans="1:10" s="20" customFormat="1" ht="57" x14ac:dyDescent="0.45">
      <c r="A125" s="15"/>
      <c r="B125" s="17" t="s">
        <v>218</v>
      </c>
      <c r="C125" s="17"/>
      <c r="D125" s="15"/>
      <c r="E125" s="14"/>
      <c r="F125" s="16"/>
      <c r="H125" s="29"/>
      <c r="I125" s="12" t="s">
        <v>482</v>
      </c>
      <c r="J125" s="12" t="s">
        <v>483</v>
      </c>
    </row>
    <row r="126" spans="1:10" s="20" customFormat="1" x14ac:dyDescent="0.45">
      <c r="A126" s="15"/>
      <c r="B126" s="17" t="s">
        <v>219</v>
      </c>
      <c r="C126" s="17"/>
      <c r="D126" s="15"/>
      <c r="E126" s="14"/>
      <c r="F126" s="16"/>
    </row>
    <row r="127" spans="1:10" s="20" customFormat="1" x14ac:dyDescent="0.45">
      <c r="A127" s="15"/>
      <c r="B127" s="17" t="s">
        <v>220</v>
      </c>
      <c r="C127" s="17"/>
      <c r="D127" s="15"/>
      <c r="E127" s="14"/>
      <c r="F127" s="16"/>
    </row>
    <row r="128" spans="1:10" s="20" customFormat="1" ht="28.5" x14ac:dyDescent="0.45">
      <c r="A128" s="15"/>
      <c r="B128" s="17" t="s">
        <v>221</v>
      </c>
      <c r="C128" s="17"/>
      <c r="D128" s="15"/>
      <c r="E128" s="14"/>
      <c r="F128" s="16"/>
    </row>
    <row r="129" spans="1:10" s="20" customFormat="1" x14ac:dyDescent="0.45">
      <c r="A129" s="15"/>
      <c r="B129" s="17" t="s">
        <v>222</v>
      </c>
      <c r="C129" s="17"/>
      <c r="D129" s="15"/>
      <c r="E129" s="14"/>
      <c r="F129" s="16"/>
    </row>
    <row r="130" spans="1:10" s="20" customFormat="1" x14ac:dyDescent="0.45">
      <c r="A130" s="15"/>
      <c r="B130" s="17" t="s">
        <v>223</v>
      </c>
      <c r="C130" s="17"/>
      <c r="D130" s="15"/>
      <c r="E130" s="14"/>
      <c r="F130" s="16"/>
    </row>
    <row r="131" spans="1:10" s="20" customFormat="1" ht="28.5" x14ac:dyDescent="0.45">
      <c r="A131" s="15"/>
      <c r="B131" s="17" t="s">
        <v>224</v>
      </c>
      <c r="C131" s="17"/>
      <c r="D131" s="15"/>
      <c r="E131" s="14"/>
      <c r="F131" s="16"/>
      <c r="J131" s="29" t="s">
        <v>484</v>
      </c>
    </row>
    <row r="132" spans="1:10" s="20" customFormat="1" x14ac:dyDescent="0.45">
      <c r="A132" s="15"/>
      <c r="B132" s="17" t="s">
        <v>225</v>
      </c>
      <c r="C132" s="17"/>
      <c r="D132" s="15"/>
      <c r="E132" s="14"/>
      <c r="F132" s="16"/>
    </row>
    <row r="133" spans="1:10" s="20" customFormat="1" ht="42.75" x14ac:dyDescent="0.45">
      <c r="A133" s="15"/>
      <c r="B133" s="17" t="s">
        <v>226</v>
      </c>
      <c r="C133" s="17"/>
      <c r="D133" s="15"/>
      <c r="E133" s="14"/>
      <c r="F133" s="16"/>
      <c r="J133" s="12" t="s">
        <v>485</v>
      </c>
    </row>
    <row r="134" spans="1:10" s="20" customFormat="1" x14ac:dyDescent="0.45">
      <c r="A134" s="15"/>
      <c r="B134" s="17" t="s">
        <v>227</v>
      </c>
      <c r="C134" s="17"/>
      <c r="D134" s="15"/>
      <c r="E134" s="14"/>
      <c r="F134" s="16"/>
    </row>
    <row r="135" spans="1:10" s="20" customFormat="1" x14ac:dyDescent="0.45">
      <c r="A135" s="15"/>
      <c r="B135" s="17" t="s">
        <v>228</v>
      </c>
      <c r="C135" s="17"/>
      <c r="D135" s="15"/>
      <c r="E135" s="14"/>
      <c r="F135" s="16"/>
    </row>
    <row r="136" spans="1:10" s="20" customFormat="1" x14ac:dyDescent="0.45">
      <c r="A136" s="15"/>
      <c r="B136" s="17" t="s">
        <v>229</v>
      </c>
      <c r="C136" s="17"/>
      <c r="D136" s="15"/>
      <c r="E136" s="14"/>
      <c r="F136" s="16"/>
    </row>
    <row r="137" spans="1:10" s="20" customFormat="1" x14ac:dyDescent="0.45">
      <c r="A137" s="15"/>
      <c r="B137" s="17" t="s">
        <v>230</v>
      </c>
      <c r="C137" s="17"/>
      <c r="D137" s="15"/>
      <c r="E137" s="14"/>
      <c r="F137" s="16"/>
    </row>
    <row r="138" spans="1:10" s="20" customFormat="1" x14ac:dyDescent="0.45">
      <c r="A138" s="15"/>
      <c r="B138" s="17" t="s">
        <v>231</v>
      </c>
      <c r="C138" s="17"/>
      <c r="D138" s="15"/>
      <c r="E138" s="14"/>
      <c r="F138" s="16"/>
    </row>
    <row r="139" spans="1:10" s="20" customFormat="1" x14ac:dyDescent="0.45">
      <c r="A139" s="15"/>
      <c r="B139" s="17" t="s">
        <v>232</v>
      </c>
      <c r="C139" s="17"/>
      <c r="D139" s="15"/>
      <c r="E139" s="14"/>
      <c r="F139" s="16"/>
    </row>
    <row r="140" spans="1:10" s="20" customFormat="1" x14ac:dyDescent="0.45">
      <c r="A140" s="15"/>
      <c r="B140" s="17" t="s">
        <v>233</v>
      </c>
      <c r="C140" s="17"/>
      <c r="D140" s="15"/>
      <c r="E140" s="14"/>
      <c r="F140" s="16"/>
    </row>
    <row r="141" spans="1:10" s="20" customFormat="1" x14ac:dyDescent="0.45">
      <c r="A141" s="15"/>
      <c r="B141" s="17" t="s">
        <v>234</v>
      </c>
      <c r="C141" s="17"/>
      <c r="D141" s="15"/>
      <c r="E141" s="14"/>
      <c r="F141" s="16"/>
    </row>
    <row r="142" spans="1:10" s="20" customFormat="1" x14ac:dyDescent="0.45">
      <c r="A142" s="15"/>
      <c r="B142" s="17" t="s">
        <v>235</v>
      </c>
      <c r="C142" s="17"/>
      <c r="D142" s="15"/>
      <c r="E142" s="14"/>
      <c r="F142" s="16"/>
    </row>
    <row r="143" spans="1:10" s="20" customFormat="1" x14ac:dyDescent="0.45">
      <c r="A143" s="15"/>
      <c r="B143" s="17" t="s">
        <v>236</v>
      </c>
      <c r="C143" s="17"/>
      <c r="D143" s="15"/>
      <c r="E143" s="14"/>
      <c r="F143" s="16"/>
    </row>
    <row r="144" spans="1:10" s="20" customFormat="1" x14ac:dyDescent="0.45">
      <c r="A144" s="15"/>
      <c r="B144" s="17" t="s">
        <v>237</v>
      </c>
      <c r="C144" s="17"/>
      <c r="D144" s="15"/>
      <c r="E144" s="14"/>
      <c r="F144" s="16"/>
    </row>
    <row r="145" spans="1:10" s="20" customFormat="1" ht="71.25" x14ac:dyDescent="0.45">
      <c r="A145" s="15"/>
      <c r="B145" s="17" t="s">
        <v>238</v>
      </c>
      <c r="C145" s="17"/>
      <c r="D145" s="15"/>
      <c r="E145" s="14"/>
      <c r="F145" s="16"/>
      <c r="J145" s="12" t="s">
        <v>486</v>
      </c>
    </row>
    <row r="146" spans="1:10" s="20" customFormat="1" x14ac:dyDescent="0.45">
      <c r="A146" s="15"/>
      <c r="B146" s="17" t="s">
        <v>239</v>
      </c>
      <c r="C146" s="17"/>
      <c r="D146" s="15"/>
      <c r="E146" s="14"/>
      <c r="F146" s="16"/>
    </row>
    <row r="147" spans="1:10" s="20" customFormat="1" x14ac:dyDescent="0.45">
      <c r="A147" s="15"/>
      <c r="B147" s="17" t="s">
        <v>240</v>
      </c>
      <c r="C147" s="17"/>
      <c r="D147" s="15"/>
      <c r="E147" s="14"/>
      <c r="F147" s="16"/>
    </row>
    <row r="148" spans="1:10" s="20" customFormat="1" x14ac:dyDescent="0.45">
      <c r="A148" s="15"/>
      <c r="B148" s="17" t="s">
        <v>241</v>
      </c>
      <c r="C148" s="17"/>
      <c r="D148" s="15"/>
      <c r="E148" s="14"/>
      <c r="F148" s="16"/>
    </row>
    <row r="149" spans="1:10" s="20" customFormat="1" x14ac:dyDescent="0.45">
      <c r="A149" s="15"/>
      <c r="B149" s="17" t="s">
        <v>242</v>
      </c>
      <c r="C149" s="17"/>
      <c r="D149" s="15"/>
      <c r="E149" s="14"/>
      <c r="F149" s="16"/>
    </row>
    <row r="150" spans="1:10" s="20" customFormat="1" x14ac:dyDescent="0.45">
      <c r="A150" s="15"/>
      <c r="B150" s="17" t="s">
        <v>243</v>
      </c>
      <c r="C150" s="17"/>
      <c r="D150" s="15"/>
      <c r="E150" s="14"/>
      <c r="F150" s="16"/>
    </row>
    <row r="151" spans="1:10" s="20" customFormat="1" x14ac:dyDescent="0.45">
      <c r="A151" s="15"/>
      <c r="B151" s="17" t="s">
        <v>244</v>
      </c>
      <c r="C151" s="17"/>
      <c r="D151" s="15"/>
      <c r="E151" s="14"/>
      <c r="F151" s="16"/>
    </row>
    <row r="152" spans="1:10" s="20" customFormat="1" x14ac:dyDescent="0.45">
      <c r="A152" s="15"/>
      <c r="B152" s="17" t="s">
        <v>245</v>
      </c>
      <c r="C152" s="17"/>
      <c r="D152" s="15"/>
      <c r="E152" s="14"/>
      <c r="F152" s="16"/>
      <c r="I152" s="11" t="s">
        <v>487</v>
      </c>
    </row>
    <row r="153" spans="1:10" s="20" customFormat="1" x14ac:dyDescent="0.45">
      <c r="A153" s="15"/>
      <c r="B153" s="17" t="s">
        <v>246</v>
      </c>
      <c r="C153" s="17"/>
      <c r="D153" s="15"/>
      <c r="E153" s="14"/>
      <c r="F153" s="16"/>
      <c r="I153" s="11"/>
    </row>
    <row r="154" spans="1:10" s="20" customFormat="1" x14ac:dyDescent="0.45">
      <c r="A154" s="15"/>
      <c r="B154" s="17" t="s">
        <v>247</v>
      </c>
      <c r="C154" s="17"/>
      <c r="D154" s="15"/>
      <c r="E154" s="14"/>
      <c r="F154" s="16"/>
      <c r="I154" s="11" t="s">
        <v>487</v>
      </c>
    </row>
    <row r="155" spans="1:10" s="20" customFormat="1" x14ac:dyDescent="0.45">
      <c r="A155" s="15"/>
      <c r="B155" s="17" t="s">
        <v>248</v>
      </c>
      <c r="C155" s="17"/>
      <c r="D155" s="15"/>
      <c r="E155" s="14"/>
      <c r="F155" s="16"/>
      <c r="I155" s="11"/>
    </row>
    <row r="156" spans="1:10" s="20" customFormat="1" x14ac:dyDescent="0.45">
      <c r="A156" s="15"/>
      <c r="B156" s="17" t="s">
        <v>249</v>
      </c>
      <c r="C156" s="17"/>
      <c r="D156" s="15"/>
      <c r="E156" s="14"/>
      <c r="F156" s="16"/>
      <c r="I156" s="11" t="s">
        <v>487</v>
      </c>
    </row>
    <row r="157" spans="1:10" s="20" customFormat="1" x14ac:dyDescent="0.45">
      <c r="A157" s="15"/>
      <c r="B157" s="17" t="s">
        <v>250</v>
      </c>
      <c r="C157" s="17"/>
      <c r="D157" s="15"/>
      <c r="E157" s="14"/>
      <c r="F157" s="16"/>
    </row>
    <row r="158" spans="1:10" s="20" customFormat="1" x14ac:dyDescent="0.45">
      <c r="A158" s="15"/>
      <c r="B158" s="30" t="s">
        <v>251</v>
      </c>
      <c r="C158" s="30"/>
      <c r="D158" s="15"/>
      <c r="E158" s="14"/>
      <c r="F158" s="16"/>
    </row>
    <row r="159" spans="1:10" s="20" customFormat="1" x14ac:dyDescent="0.45">
      <c r="A159" s="15"/>
      <c r="B159" s="17" t="s">
        <v>252</v>
      </c>
      <c r="C159" s="17"/>
      <c r="D159" s="15"/>
      <c r="E159" s="14"/>
      <c r="F159" s="16"/>
    </row>
    <row r="160" spans="1:10" s="20" customFormat="1" x14ac:dyDescent="0.45">
      <c r="A160" s="15"/>
      <c r="B160" s="17" t="s">
        <v>253</v>
      </c>
      <c r="C160" s="17"/>
      <c r="D160" s="15"/>
      <c r="E160" s="14"/>
      <c r="F160" s="16"/>
    </row>
    <row r="161" spans="1:10" s="20" customFormat="1" x14ac:dyDescent="0.45">
      <c r="A161" s="15"/>
      <c r="B161" s="17" t="s">
        <v>254</v>
      </c>
      <c r="C161" s="17"/>
      <c r="D161" s="15"/>
      <c r="E161" s="14"/>
      <c r="F161" s="16"/>
    </row>
    <row r="162" spans="1:10" s="20" customFormat="1" x14ac:dyDescent="0.45">
      <c r="A162" s="15"/>
      <c r="B162" s="17" t="s">
        <v>255</v>
      </c>
      <c r="C162" s="17"/>
      <c r="D162" s="15"/>
      <c r="E162" s="14"/>
      <c r="F162" s="16"/>
    </row>
    <row r="163" spans="1:10" s="20" customFormat="1" x14ac:dyDescent="0.45">
      <c r="A163" s="15"/>
      <c r="B163" s="30" t="s">
        <v>256</v>
      </c>
      <c r="C163" s="30"/>
      <c r="D163" s="15"/>
      <c r="E163" s="14"/>
      <c r="F163" s="16"/>
    </row>
    <row r="164" spans="1:10" s="20" customFormat="1" x14ac:dyDescent="0.45">
      <c r="A164" s="15"/>
      <c r="B164" s="30" t="s">
        <v>257</v>
      </c>
      <c r="C164" s="30"/>
      <c r="D164" s="15"/>
      <c r="E164" s="14"/>
      <c r="F164" s="16"/>
    </row>
    <row r="165" spans="1:10" s="20" customFormat="1" x14ac:dyDescent="0.45">
      <c r="A165" s="15"/>
      <c r="B165" s="17" t="s">
        <v>258</v>
      </c>
      <c r="C165" s="17"/>
      <c r="D165" s="15"/>
      <c r="E165" s="14"/>
      <c r="F165" s="16"/>
      <c r="I165" s="11" t="s">
        <v>487</v>
      </c>
    </row>
    <row r="166" spans="1:10" s="20" customFormat="1" ht="28.5" x14ac:dyDescent="0.45">
      <c r="A166" s="15"/>
      <c r="B166" s="17" t="s">
        <v>259</v>
      </c>
      <c r="C166" s="17"/>
      <c r="D166" s="15"/>
      <c r="E166" s="14"/>
      <c r="F166" s="16"/>
      <c r="I166" s="11" t="s">
        <v>487</v>
      </c>
      <c r="J166" s="12" t="s">
        <v>484</v>
      </c>
    </row>
    <row r="167" spans="1:10" s="20" customFormat="1" x14ac:dyDescent="0.45">
      <c r="A167" s="15"/>
      <c r="B167" s="17" t="s">
        <v>260</v>
      </c>
      <c r="C167" s="17"/>
      <c r="D167" s="15"/>
      <c r="E167" s="14"/>
      <c r="F167" s="16"/>
    </row>
    <row r="168" spans="1:10" s="20" customFormat="1" x14ac:dyDescent="0.45">
      <c r="A168" s="15"/>
      <c r="B168" s="17" t="s">
        <v>261</v>
      </c>
      <c r="C168" s="17"/>
      <c r="D168" s="15"/>
      <c r="E168" s="14"/>
      <c r="F168" s="16"/>
    </row>
    <row r="169" spans="1:10" s="20" customFormat="1" x14ac:dyDescent="0.45">
      <c r="A169" s="15"/>
      <c r="B169" s="17" t="s">
        <v>262</v>
      </c>
      <c r="C169" s="17"/>
      <c r="D169" s="15"/>
      <c r="E169" s="14"/>
      <c r="F169" s="16"/>
    </row>
    <row r="170" spans="1:10" s="20" customFormat="1" x14ac:dyDescent="0.45">
      <c r="A170" s="15"/>
      <c r="B170" s="17" t="s">
        <v>263</v>
      </c>
      <c r="C170" s="17"/>
      <c r="D170" s="15"/>
      <c r="E170" s="14"/>
      <c r="F170" s="16"/>
    </row>
    <row r="171" spans="1:10" s="20" customFormat="1" x14ac:dyDescent="0.45">
      <c r="A171" s="15"/>
      <c r="B171" s="30" t="s">
        <v>264</v>
      </c>
      <c r="C171" s="30"/>
      <c r="D171" s="15"/>
      <c r="E171" s="14"/>
      <c r="F171" s="16"/>
    </row>
    <row r="172" spans="1:10" s="20" customFormat="1" x14ac:dyDescent="0.45">
      <c r="A172" s="15"/>
      <c r="B172" s="17" t="s">
        <v>265</v>
      </c>
      <c r="C172" s="17"/>
      <c r="D172" s="15"/>
      <c r="E172" s="14"/>
      <c r="F172" s="16"/>
    </row>
    <row r="173" spans="1:10" s="20" customFormat="1" x14ac:dyDescent="0.45">
      <c r="A173" s="15"/>
      <c r="B173" s="17" t="s">
        <v>266</v>
      </c>
      <c r="C173" s="17"/>
      <c r="D173" s="15"/>
      <c r="E173" s="14"/>
      <c r="F173" s="16"/>
    </row>
    <row r="174" spans="1:10" s="20" customFormat="1" ht="28.5" x14ac:dyDescent="0.45">
      <c r="A174" s="15"/>
      <c r="B174" s="17" t="s">
        <v>267</v>
      </c>
      <c r="C174" s="17"/>
      <c r="D174" s="15"/>
      <c r="E174" s="14"/>
      <c r="F174" s="16"/>
      <c r="J174" s="12" t="s">
        <v>488</v>
      </c>
    </row>
    <row r="175" spans="1:10" s="20" customFormat="1" x14ac:dyDescent="0.45">
      <c r="A175" s="15"/>
      <c r="B175" s="17" t="s">
        <v>268</v>
      </c>
      <c r="C175" s="17"/>
      <c r="D175" s="15"/>
      <c r="E175" s="14"/>
      <c r="F175" s="16"/>
    </row>
    <row r="176" spans="1:10" s="20" customFormat="1" x14ac:dyDescent="0.45">
      <c r="A176" s="15"/>
      <c r="B176" s="30" t="s">
        <v>269</v>
      </c>
      <c r="C176" s="30"/>
      <c r="D176" s="15"/>
      <c r="E176" s="14"/>
      <c r="F176" s="16"/>
    </row>
    <row r="177" spans="1:6" s="20" customFormat="1" x14ac:dyDescent="0.45">
      <c r="A177" s="15"/>
      <c r="B177" s="30" t="s">
        <v>270</v>
      </c>
      <c r="C177" s="30"/>
      <c r="D177" s="15"/>
      <c r="E177" s="14"/>
      <c r="F177" s="16"/>
    </row>
    <row r="178" spans="1:6" s="20" customFormat="1" x14ac:dyDescent="0.45">
      <c r="A178" s="15"/>
      <c r="B178" s="17" t="s">
        <v>271</v>
      </c>
      <c r="C178" s="17"/>
      <c r="D178" s="15"/>
      <c r="E178" s="14"/>
      <c r="F178" s="16"/>
    </row>
    <row r="179" spans="1:6" s="20" customFormat="1" x14ac:dyDescent="0.45">
      <c r="A179" s="15"/>
      <c r="B179" s="17" t="s">
        <v>272</v>
      </c>
      <c r="C179" s="17"/>
      <c r="D179" s="15"/>
      <c r="E179" s="14"/>
      <c r="F179" s="16"/>
    </row>
    <row r="180" spans="1:6" s="20" customFormat="1" x14ac:dyDescent="0.45">
      <c r="A180" s="15"/>
      <c r="B180" s="28" t="s">
        <v>273</v>
      </c>
      <c r="C180" s="28"/>
      <c r="D180" s="15"/>
      <c r="E180" s="14"/>
      <c r="F180" s="16"/>
    </row>
    <row r="181" spans="1:6" s="20" customFormat="1" x14ac:dyDescent="0.45">
      <c r="A181" s="15"/>
      <c r="B181" s="17" t="s">
        <v>274</v>
      </c>
      <c r="C181" s="17"/>
      <c r="D181" s="15"/>
      <c r="E181" s="14"/>
      <c r="F181" s="16"/>
    </row>
    <row r="182" spans="1:6" s="20" customFormat="1" x14ac:dyDescent="0.45">
      <c r="A182" s="15"/>
      <c r="B182" s="23" t="s">
        <v>275</v>
      </c>
      <c r="C182" s="23"/>
      <c r="D182" s="15"/>
      <c r="E182" s="14"/>
      <c r="F182" s="16"/>
    </row>
    <row r="183" spans="1:6" s="20" customFormat="1" x14ac:dyDescent="0.45">
      <c r="A183" s="15"/>
      <c r="B183" s="17" t="s">
        <v>276</v>
      </c>
      <c r="C183" s="17"/>
      <c r="D183" s="15"/>
      <c r="E183" s="14"/>
      <c r="F183" s="16"/>
    </row>
    <row r="184" spans="1:6" s="20" customFormat="1" x14ac:dyDescent="0.45">
      <c r="A184" s="15"/>
      <c r="B184" s="17" t="s">
        <v>277</v>
      </c>
      <c r="C184" s="17"/>
      <c r="D184" s="15"/>
      <c r="E184" s="14"/>
      <c r="F184" s="16"/>
    </row>
    <row r="185" spans="1:6" s="20" customFormat="1" x14ac:dyDescent="0.45">
      <c r="A185" s="15"/>
      <c r="B185" s="17" t="s">
        <v>278</v>
      </c>
      <c r="C185" s="17"/>
      <c r="D185" s="15"/>
      <c r="E185" s="14"/>
      <c r="F185" s="16"/>
    </row>
    <row r="186" spans="1:6" s="20" customFormat="1" ht="28.5" x14ac:dyDescent="0.45">
      <c r="A186" s="15"/>
      <c r="B186" s="17" t="s">
        <v>279</v>
      </c>
      <c r="C186" s="17"/>
      <c r="D186" s="15"/>
      <c r="E186" s="14"/>
      <c r="F186" s="16"/>
    </row>
    <row r="187" spans="1:6" s="20" customFormat="1" x14ac:dyDescent="0.45">
      <c r="A187" s="15"/>
      <c r="B187" s="17" t="s">
        <v>280</v>
      </c>
      <c r="C187" s="17"/>
      <c r="D187" s="15"/>
      <c r="E187" s="14"/>
      <c r="F187" s="16"/>
    </row>
    <row r="188" spans="1:6" s="20" customFormat="1" x14ac:dyDescent="0.45">
      <c r="A188" s="15"/>
      <c r="B188" s="17" t="s">
        <v>281</v>
      </c>
      <c r="C188" s="17"/>
      <c r="D188" s="15"/>
      <c r="E188" s="14"/>
      <c r="F188" s="16"/>
    </row>
    <row r="189" spans="1:6" s="20" customFormat="1" x14ac:dyDescent="0.45">
      <c r="A189" s="15"/>
      <c r="B189" s="17" t="s">
        <v>282</v>
      </c>
      <c r="C189" s="17"/>
      <c r="D189" s="15"/>
      <c r="E189" s="14"/>
      <c r="F189" s="16"/>
    </row>
    <row r="190" spans="1:6" s="20" customFormat="1" x14ac:dyDescent="0.45">
      <c r="A190" s="15"/>
      <c r="B190" s="17" t="s">
        <v>283</v>
      </c>
      <c r="C190" s="17"/>
      <c r="D190" s="15"/>
      <c r="E190" s="14"/>
      <c r="F190" s="16"/>
    </row>
    <row r="191" spans="1:6" s="20" customFormat="1" x14ac:dyDescent="0.45">
      <c r="A191" s="15"/>
      <c r="B191" s="17" t="s">
        <v>284</v>
      </c>
      <c r="C191" s="17"/>
      <c r="D191" s="15"/>
      <c r="E191" s="14"/>
      <c r="F191" s="16"/>
    </row>
    <row r="192" spans="1:6" s="20" customFormat="1" x14ac:dyDescent="0.45">
      <c r="A192" s="15"/>
      <c r="B192" s="17" t="s">
        <v>285</v>
      </c>
      <c r="C192" s="17"/>
      <c r="D192" s="15"/>
      <c r="E192" s="14"/>
      <c r="F192" s="16"/>
    </row>
    <row r="193" spans="1:6" s="20" customFormat="1" x14ac:dyDescent="0.45">
      <c r="A193" s="15"/>
      <c r="B193" s="17" t="s">
        <v>286</v>
      </c>
      <c r="C193" s="17"/>
      <c r="D193" s="15"/>
      <c r="E193" s="14"/>
      <c r="F193" s="16"/>
    </row>
    <row r="194" spans="1:6" s="20" customFormat="1" x14ac:dyDescent="0.45">
      <c r="A194" s="15"/>
      <c r="B194" s="17" t="s">
        <v>287</v>
      </c>
      <c r="C194" s="17"/>
      <c r="D194" s="15"/>
      <c r="E194" s="14"/>
      <c r="F194" s="16"/>
    </row>
    <row r="195" spans="1:6" s="20" customFormat="1" x14ac:dyDescent="0.45">
      <c r="A195" s="15"/>
      <c r="B195" s="17" t="s">
        <v>288</v>
      </c>
      <c r="C195" s="17"/>
      <c r="D195" s="15"/>
      <c r="E195" s="14"/>
      <c r="F195" s="16"/>
    </row>
    <row r="196" spans="1:6" s="20" customFormat="1" x14ac:dyDescent="0.45">
      <c r="A196" s="15"/>
      <c r="B196" s="17" t="s">
        <v>289</v>
      </c>
      <c r="C196" s="17"/>
      <c r="D196" s="15"/>
      <c r="E196" s="14"/>
      <c r="F196" s="16"/>
    </row>
    <row r="197" spans="1:6" s="20" customFormat="1" x14ac:dyDescent="0.45">
      <c r="A197" s="15"/>
      <c r="B197" s="17" t="s">
        <v>290</v>
      </c>
      <c r="C197" s="17"/>
      <c r="D197" s="15"/>
      <c r="E197" s="14"/>
      <c r="F197" s="16"/>
    </row>
    <row r="198" spans="1:6" s="20" customFormat="1" x14ac:dyDescent="0.45">
      <c r="A198" s="15"/>
      <c r="B198" s="17" t="s">
        <v>291</v>
      </c>
      <c r="C198" s="17"/>
      <c r="D198" s="15"/>
      <c r="E198" s="14"/>
      <c r="F198" s="16"/>
    </row>
    <row r="199" spans="1:6" s="20" customFormat="1" x14ac:dyDescent="0.45">
      <c r="A199" s="15"/>
      <c r="B199" s="17" t="s">
        <v>292</v>
      </c>
      <c r="C199" s="17"/>
      <c r="D199" s="15"/>
      <c r="E199" s="14"/>
      <c r="F199" s="16"/>
    </row>
    <row r="200" spans="1:6" s="20" customFormat="1" x14ac:dyDescent="0.45">
      <c r="A200" s="15"/>
      <c r="B200" s="17" t="s">
        <v>293</v>
      </c>
      <c r="C200" s="17"/>
      <c r="D200" s="15"/>
      <c r="E200" s="14"/>
      <c r="F200" s="16"/>
    </row>
    <row r="201" spans="1:6" s="20" customFormat="1" x14ac:dyDescent="0.45">
      <c r="A201" s="15"/>
      <c r="B201" s="17" t="s">
        <v>294</v>
      </c>
      <c r="C201" s="17"/>
      <c r="D201" s="15"/>
      <c r="E201" s="14"/>
      <c r="F201" s="16"/>
    </row>
    <row r="202" spans="1:6" s="20" customFormat="1" x14ac:dyDescent="0.45">
      <c r="A202" s="15"/>
      <c r="B202" s="17" t="s">
        <v>295</v>
      </c>
      <c r="C202" s="17"/>
      <c r="D202" s="15"/>
      <c r="E202" s="14"/>
      <c r="F202" s="16"/>
    </row>
    <row r="203" spans="1:6" s="20" customFormat="1" x14ac:dyDescent="0.45">
      <c r="A203" s="15"/>
      <c r="B203" s="17" t="s">
        <v>296</v>
      </c>
      <c r="C203" s="17"/>
      <c r="D203" s="15"/>
      <c r="E203" s="14"/>
      <c r="F203" s="16"/>
    </row>
    <row r="204" spans="1:6" s="20" customFormat="1" x14ac:dyDescent="0.45">
      <c r="A204" s="15"/>
      <c r="B204" s="17" t="s">
        <v>297</v>
      </c>
      <c r="C204" s="17"/>
      <c r="D204" s="15"/>
      <c r="E204" s="14"/>
      <c r="F204" s="16"/>
    </row>
    <row r="205" spans="1:6" s="20" customFormat="1" x14ac:dyDescent="0.45">
      <c r="A205" s="15"/>
      <c r="B205" s="17" t="s">
        <v>298</v>
      </c>
      <c r="C205" s="17"/>
      <c r="D205" s="15"/>
      <c r="E205" s="14"/>
      <c r="F205" s="16"/>
    </row>
    <row r="206" spans="1:6" s="20" customFormat="1" x14ac:dyDescent="0.45">
      <c r="A206" s="15"/>
      <c r="B206" s="17" t="s">
        <v>299</v>
      </c>
      <c r="C206" s="17"/>
      <c r="D206" s="15"/>
      <c r="E206" s="14"/>
      <c r="F206" s="16"/>
    </row>
    <row r="207" spans="1:6" s="20" customFormat="1" x14ac:dyDescent="0.45">
      <c r="A207" s="15"/>
      <c r="B207" s="17" t="s">
        <v>300</v>
      </c>
      <c r="C207" s="17"/>
      <c r="D207" s="15"/>
      <c r="E207" s="14"/>
      <c r="F207" s="16"/>
    </row>
    <row r="208" spans="1:6" s="20" customFormat="1" x14ac:dyDescent="0.45">
      <c r="A208" s="15"/>
      <c r="B208" s="17" t="s">
        <v>301</v>
      </c>
      <c r="C208" s="17"/>
      <c r="D208" s="15"/>
      <c r="E208" s="14"/>
      <c r="F208" s="16"/>
    </row>
    <row r="209" spans="1:6" s="20" customFormat="1" x14ac:dyDescent="0.45">
      <c r="A209" s="15"/>
      <c r="B209" s="17" t="s">
        <v>302</v>
      </c>
      <c r="C209" s="17"/>
      <c r="D209" s="15"/>
      <c r="E209" s="14"/>
      <c r="F209" s="16"/>
    </row>
    <row r="210" spans="1:6" s="20" customFormat="1" x14ac:dyDescent="0.45">
      <c r="A210" s="15"/>
      <c r="B210" s="17" t="s">
        <v>303</v>
      </c>
      <c r="C210" s="17"/>
      <c r="D210" s="15"/>
      <c r="E210" s="14"/>
      <c r="F210" s="16"/>
    </row>
    <row r="211" spans="1:6" s="20" customFormat="1" x14ac:dyDescent="0.45">
      <c r="A211" s="15"/>
      <c r="B211" s="17" t="s">
        <v>304</v>
      </c>
      <c r="C211" s="17"/>
      <c r="D211" s="15"/>
      <c r="E211" s="14"/>
      <c r="F211" s="16"/>
    </row>
    <row r="212" spans="1:6" s="20" customFormat="1" x14ac:dyDescent="0.45">
      <c r="A212" s="15"/>
      <c r="B212" s="17" t="s">
        <v>305</v>
      </c>
      <c r="C212" s="17"/>
      <c r="D212" s="15"/>
      <c r="E212" s="14"/>
      <c r="F212" s="16"/>
    </row>
    <row r="213" spans="1:6" s="20" customFormat="1" x14ac:dyDescent="0.45">
      <c r="A213" s="15"/>
      <c r="B213" s="17" t="s">
        <v>306</v>
      </c>
      <c r="C213" s="17"/>
      <c r="D213" s="15"/>
      <c r="E213" s="14"/>
      <c r="F213" s="16"/>
    </row>
    <row r="214" spans="1:6" s="20" customFormat="1" x14ac:dyDescent="0.45">
      <c r="A214" s="15"/>
      <c r="B214" s="30" t="s">
        <v>307</v>
      </c>
      <c r="C214" s="30"/>
      <c r="D214" s="15"/>
      <c r="E214" s="14"/>
      <c r="F214" s="16"/>
    </row>
    <row r="215" spans="1:6" s="20" customFormat="1" x14ac:dyDescent="0.45">
      <c r="A215" s="15"/>
      <c r="B215" s="17" t="s">
        <v>308</v>
      </c>
      <c r="C215" s="17"/>
      <c r="D215" s="15"/>
      <c r="E215" s="14"/>
      <c r="F215" s="16"/>
    </row>
    <row r="216" spans="1:6" s="20" customFormat="1" x14ac:dyDescent="0.45">
      <c r="A216" s="15"/>
      <c r="B216" s="17" t="s">
        <v>309</v>
      </c>
      <c r="C216" s="17"/>
      <c r="D216" s="15"/>
      <c r="E216" s="14"/>
      <c r="F216" s="16"/>
    </row>
    <row r="217" spans="1:6" s="20" customFormat="1" x14ac:dyDescent="0.45">
      <c r="A217" s="15"/>
      <c r="B217" s="17" t="s">
        <v>310</v>
      </c>
      <c r="C217" s="17"/>
      <c r="D217" s="15"/>
      <c r="E217" s="14"/>
      <c r="F217" s="16"/>
    </row>
    <row r="218" spans="1:6" s="20" customFormat="1" x14ac:dyDescent="0.45">
      <c r="A218" s="15"/>
      <c r="B218" s="17" t="s">
        <v>311</v>
      </c>
      <c r="C218" s="17"/>
      <c r="D218" s="15"/>
      <c r="E218" s="14"/>
      <c r="F218" s="16"/>
    </row>
    <row r="219" spans="1:6" s="20" customFormat="1" x14ac:dyDescent="0.45">
      <c r="A219" s="15"/>
      <c r="B219" s="30" t="s">
        <v>312</v>
      </c>
      <c r="C219" s="30"/>
      <c r="D219" s="15"/>
      <c r="E219" s="14"/>
      <c r="F219" s="16"/>
    </row>
    <row r="220" spans="1:6" s="20" customFormat="1" x14ac:dyDescent="0.45">
      <c r="A220" s="15"/>
      <c r="B220" s="30" t="s">
        <v>313</v>
      </c>
      <c r="C220" s="30"/>
      <c r="D220" s="15"/>
      <c r="E220" s="14"/>
      <c r="F220" s="16"/>
    </row>
    <row r="221" spans="1:6" s="20" customFormat="1" x14ac:dyDescent="0.45">
      <c r="A221" s="15"/>
      <c r="B221" s="17" t="s">
        <v>314</v>
      </c>
      <c r="C221" s="17"/>
      <c r="D221" s="15"/>
      <c r="E221" s="14"/>
      <c r="F221" s="16"/>
    </row>
    <row r="222" spans="1:6" s="20" customFormat="1" x14ac:dyDescent="0.45">
      <c r="A222" s="15"/>
      <c r="B222" s="17" t="s">
        <v>315</v>
      </c>
      <c r="C222" s="17"/>
      <c r="D222" s="15"/>
      <c r="E222" s="14"/>
      <c r="F222" s="16"/>
    </row>
    <row r="223" spans="1:6" s="20" customFormat="1" x14ac:dyDescent="0.45">
      <c r="A223" s="15"/>
      <c r="B223" s="17" t="s">
        <v>316</v>
      </c>
      <c r="C223" s="17"/>
      <c r="D223" s="15"/>
      <c r="E223" s="14"/>
      <c r="F223" s="16"/>
    </row>
    <row r="224" spans="1:6" s="20" customFormat="1" x14ac:dyDescent="0.45">
      <c r="A224" s="15"/>
      <c r="B224" s="17" t="s">
        <v>317</v>
      </c>
      <c r="C224" s="17"/>
      <c r="D224" s="15"/>
      <c r="E224" s="14"/>
      <c r="F224" s="16"/>
    </row>
    <row r="225" spans="1:6" s="20" customFormat="1" x14ac:dyDescent="0.45">
      <c r="A225" s="15"/>
      <c r="B225" s="30" t="s">
        <v>318</v>
      </c>
      <c r="C225" s="30"/>
      <c r="D225" s="15"/>
      <c r="E225" s="14"/>
      <c r="F225" s="16"/>
    </row>
    <row r="226" spans="1:6" s="20" customFormat="1" x14ac:dyDescent="0.45">
      <c r="A226" s="15"/>
      <c r="B226" s="30" t="s">
        <v>319</v>
      </c>
      <c r="C226" s="30"/>
      <c r="D226" s="15"/>
      <c r="E226" s="14"/>
      <c r="F226" s="16"/>
    </row>
    <row r="227" spans="1:6" s="20" customFormat="1" x14ac:dyDescent="0.45">
      <c r="A227" s="15"/>
      <c r="B227" s="30" t="s">
        <v>320</v>
      </c>
      <c r="C227" s="30"/>
      <c r="D227" s="15"/>
      <c r="E227" s="14"/>
      <c r="F227" s="16"/>
    </row>
    <row r="228" spans="1:6" s="20" customFormat="1" x14ac:dyDescent="0.45">
      <c r="A228" s="15"/>
      <c r="B228" s="17" t="s">
        <v>321</v>
      </c>
      <c r="C228" s="17"/>
      <c r="D228" s="15"/>
      <c r="E228" s="14"/>
      <c r="F228" s="16"/>
    </row>
    <row r="229" spans="1:6" s="20" customFormat="1" x14ac:dyDescent="0.45">
      <c r="A229" s="15"/>
      <c r="B229" s="17" t="s">
        <v>322</v>
      </c>
      <c r="C229" s="17"/>
      <c r="D229" s="15"/>
      <c r="E229" s="14"/>
      <c r="F229" s="16"/>
    </row>
    <row r="230" spans="1:6" s="20" customFormat="1" x14ac:dyDescent="0.45">
      <c r="A230" s="15"/>
      <c r="B230" s="17" t="s">
        <v>323</v>
      </c>
      <c r="C230" s="17"/>
      <c r="D230" s="15"/>
      <c r="E230" s="14"/>
      <c r="F230" s="16"/>
    </row>
    <row r="231" spans="1:6" s="20" customFormat="1" x14ac:dyDescent="0.45">
      <c r="A231" s="15"/>
      <c r="B231" s="17" t="s">
        <v>324</v>
      </c>
      <c r="C231" s="17"/>
      <c r="D231" s="15"/>
      <c r="E231" s="14"/>
      <c r="F231" s="16"/>
    </row>
    <row r="232" spans="1:6" s="20" customFormat="1" x14ac:dyDescent="0.45">
      <c r="A232" s="15"/>
      <c r="B232" s="30" t="s">
        <v>325</v>
      </c>
      <c r="C232" s="30"/>
      <c r="D232" s="15"/>
      <c r="E232" s="14"/>
      <c r="F232" s="16"/>
    </row>
    <row r="233" spans="1:6" s="20" customFormat="1" x14ac:dyDescent="0.45">
      <c r="A233" s="15"/>
      <c r="B233" s="30" t="s">
        <v>326</v>
      </c>
      <c r="C233" s="30"/>
      <c r="D233" s="15"/>
      <c r="E233" s="14"/>
      <c r="F233" s="16"/>
    </row>
    <row r="234" spans="1:6" s="20" customFormat="1" x14ac:dyDescent="0.45">
      <c r="A234" s="15"/>
      <c r="B234" s="17" t="s">
        <v>327</v>
      </c>
      <c r="C234" s="17"/>
      <c r="D234" s="15"/>
      <c r="E234" s="14"/>
      <c r="F234" s="16"/>
    </row>
    <row r="235" spans="1:6" s="20" customFormat="1" x14ac:dyDescent="0.45">
      <c r="A235" s="15"/>
      <c r="B235" s="17" t="s">
        <v>328</v>
      </c>
      <c r="C235" s="17"/>
      <c r="D235" s="15"/>
      <c r="E235" s="14"/>
      <c r="F235" s="16"/>
    </row>
    <row r="236" spans="1:6" s="20" customFormat="1" x14ac:dyDescent="0.45">
      <c r="A236" s="15"/>
      <c r="B236" s="31" t="s">
        <v>329</v>
      </c>
      <c r="C236" s="31"/>
      <c r="D236" s="15"/>
      <c r="E236" s="14"/>
      <c r="F236" s="16"/>
    </row>
    <row r="237" spans="1:6" s="20" customFormat="1" x14ac:dyDescent="0.45">
      <c r="A237" s="15"/>
      <c r="B237" s="31" t="s">
        <v>330</v>
      </c>
      <c r="C237" s="31"/>
      <c r="D237" s="15"/>
      <c r="E237" s="14"/>
      <c r="F237" s="16"/>
    </row>
    <row r="238" spans="1:6" s="20" customFormat="1" x14ac:dyDescent="0.45">
      <c r="A238" s="15"/>
      <c r="B238" s="23" t="s">
        <v>331</v>
      </c>
      <c r="C238" s="23"/>
      <c r="D238" s="15"/>
      <c r="E238" s="14"/>
      <c r="F238" s="16"/>
    </row>
    <row r="239" spans="1:6" s="20" customFormat="1" x14ac:dyDescent="0.45">
      <c r="A239" s="15"/>
      <c r="B239" s="17" t="s">
        <v>332</v>
      </c>
      <c r="C239" s="17"/>
      <c r="D239" s="15"/>
      <c r="E239" s="14"/>
      <c r="F239" s="16" t="s">
        <v>333</v>
      </c>
    </row>
    <row r="240" spans="1:6" s="20" customFormat="1" x14ac:dyDescent="0.45">
      <c r="A240" s="15"/>
      <c r="B240" s="17" t="s">
        <v>334</v>
      </c>
      <c r="C240" s="17"/>
      <c r="D240" s="15"/>
      <c r="E240" s="14"/>
      <c r="F240" s="16" t="s">
        <v>333</v>
      </c>
    </row>
    <row r="241" spans="1:6" s="20" customFormat="1" x14ac:dyDescent="0.45">
      <c r="A241" s="15"/>
      <c r="B241" s="17" t="s">
        <v>335</v>
      </c>
      <c r="C241" s="17"/>
      <c r="D241" s="15"/>
      <c r="E241" s="14"/>
      <c r="F241" s="16"/>
    </row>
    <row r="242" spans="1:6" s="20" customFormat="1" ht="28.5" x14ac:dyDescent="0.45">
      <c r="A242" s="15"/>
      <c r="B242" s="17" t="s">
        <v>336</v>
      </c>
      <c r="C242" s="17"/>
      <c r="D242" s="15"/>
      <c r="E242" s="14"/>
      <c r="F242" s="16" t="s">
        <v>333</v>
      </c>
    </row>
    <row r="243" spans="1:6" s="20" customFormat="1" x14ac:dyDescent="0.45">
      <c r="A243" s="15"/>
      <c r="B243" s="17" t="s">
        <v>337</v>
      </c>
      <c r="C243" s="17"/>
      <c r="D243" s="15"/>
      <c r="E243" s="14"/>
      <c r="F243" s="16"/>
    </row>
    <row r="244" spans="1:6" s="20" customFormat="1" x14ac:dyDescent="0.45">
      <c r="A244" s="15"/>
      <c r="B244" s="17" t="s">
        <v>338</v>
      </c>
      <c r="C244" s="17"/>
      <c r="D244" s="15"/>
      <c r="E244" s="14"/>
      <c r="F244" s="16"/>
    </row>
    <row r="245" spans="1:6" s="20" customFormat="1" x14ac:dyDescent="0.45">
      <c r="A245" s="15"/>
      <c r="B245" s="17" t="s">
        <v>339</v>
      </c>
      <c r="C245" s="17"/>
      <c r="D245" s="15"/>
      <c r="E245" s="14"/>
      <c r="F245" s="16" t="s">
        <v>333</v>
      </c>
    </row>
    <row r="246" spans="1:6" s="20" customFormat="1" x14ac:dyDescent="0.45">
      <c r="A246" s="15"/>
      <c r="B246" s="17" t="s">
        <v>340</v>
      </c>
      <c r="C246" s="17"/>
      <c r="D246" s="15"/>
      <c r="E246" s="14"/>
      <c r="F246" s="16" t="s">
        <v>333</v>
      </c>
    </row>
    <row r="247" spans="1:6" s="20" customFormat="1" x14ac:dyDescent="0.45">
      <c r="A247" s="15"/>
      <c r="B247" s="17" t="s">
        <v>341</v>
      </c>
      <c r="C247" s="17"/>
      <c r="D247" s="15"/>
      <c r="E247" s="14"/>
      <c r="F247" s="16"/>
    </row>
    <row r="248" spans="1:6" s="20" customFormat="1" x14ac:dyDescent="0.45">
      <c r="A248" s="15"/>
      <c r="B248" s="17" t="s">
        <v>342</v>
      </c>
      <c r="C248" s="17"/>
      <c r="D248" s="15"/>
      <c r="E248" s="14"/>
      <c r="F248" s="16"/>
    </row>
    <row r="249" spans="1:6" s="20" customFormat="1" x14ac:dyDescent="0.45">
      <c r="A249" s="15"/>
      <c r="B249" s="17" t="s">
        <v>343</v>
      </c>
      <c r="C249" s="17"/>
      <c r="D249" s="15"/>
      <c r="E249" s="14"/>
      <c r="F249" s="16" t="s">
        <v>333</v>
      </c>
    </row>
    <row r="250" spans="1:6" s="20" customFormat="1" x14ac:dyDescent="0.45">
      <c r="A250" s="15"/>
      <c r="B250" s="17" t="s">
        <v>344</v>
      </c>
      <c r="C250" s="17"/>
      <c r="D250" s="15"/>
      <c r="E250" s="14"/>
      <c r="F250" s="16"/>
    </row>
    <row r="251" spans="1:6" s="20" customFormat="1" x14ac:dyDescent="0.45">
      <c r="A251" s="15"/>
      <c r="B251" s="17" t="s">
        <v>345</v>
      </c>
      <c r="C251" s="17"/>
      <c r="D251" s="15"/>
      <c r="E251" s="14"/>
      <c r="F251" s="16"/>
    </row>
    <row r="252" spans="1:6" s="20" customFormat="1" x14ac:dyDescent="0.45">
      <c r="A252" s="15"/>
      <c r="B252" s="17" t="s">
        <v>346</v>
      </c>
      <c r="C252" s="17"/>
      <c r="D252" s="15"/>
      <c r="E252" s="14"/>
      <c r="F252" s="16"/>
    </row>
    <row r="253" spans="1:6" s="20" customFormat="1" x14ac:dyDescent="0.45">
      <c r="A253" s="15"/>
      <c r="B253" s="17" t="s">
        <v>347</v>
      </c>
      <c r="C253" s="17"/>
      <c r="D253" s="15"/>
      <c r="E253" s="14"/>
      <c r="F253" s="16" t="s">
        <v>333</v>
      </c>
    </row>
    <row r="254" spans="1:6" s="20" customFormat="1" x14ac:dyDescent="0.45">
      <c r="A254" s="15"/>
      <c r="B254" s="17" t="s">
        <v>348</v>
      </c>
      <c r="C254" s="17"/>
      <c r="D254" s="15"/>
      <c r="E254" s="14"/>
      <c r="F254" s="16" t="s">
        <v>333</v>
      </c>
    </row>
    <row r="255" spans="1:6" s="20" customFormat="1" x14ac:dyDescent="0.45">
      <c r="A255" s="15"/>
      <c r="B255" s="17" t="s">
        <v>349</v>
      </c>
      <c r="C255" s="17"/>
      <c r="D255" s="15"/>
      <c r="E255" s="14"/>
      <c r="F255" s="16"/>
    </row>
    <row r="256" spans="1:6" s="20" customFormat="1" x14ac:dyDescent="0.45">
      <c r="A256" s="15"/>
      <c r="B256" s="17" t="s">
        <v>350</v>
      </c>
      <c r="C256" s="17"/>
      <c r="D256" s="15"/>
      <c r="E256" s="14"/>
      <c r="F256" s="16"/>
    </row>
    <row r="257" spans="1:6" s="20" customFormat="1" x14ac:dyDescent="0.45">
      <c r="A257" s="15"/>
      <c r="B257" s="17" t="s">
        <v>351</v>
      </c>
      <c r="C257" s="17"/>
      <c r="D257" s="15"/>
      <c r="E257" s="14"/>
      <c r="F257" s="16"/>
    </row>
    <row r="258" spans="1:6" s="20" customFormat="1" x14ac:dyDescent="0.45">
      <c r="A258" s="15"/>
      <c r="B258" s="17" t="s">
        <v>352</v>
      </c>
      <c r="C258" s="17"/>
      <c r="D258" s="15"/>
      <c r="E258" s="14"/>
      <c r="F258" s="16"/>
    </row>
    <row r="259" spans="1:6" s="20" customFormat="1" x14ac:dyDescent="0.45">
      <c r="A259" s="15"/>
      <c r="B259" s="17" t="s">
        <v>353</v>
      </c>
      <c r="C259" s="17"/>
      <c r="D259" s="15"/>
      <c r="E259" s="14"/>
      <c r="F259" s="16"/>
    </row>
    <row r="260" spans="1:6" s="20" customFormat="1" x14ac:dyDescent="0.45">
      <c r="A260" s="15"/>
      <c r="B260" s="17" t="s">
        <v>354</v>
      </c>
      <c r="C260" s="17"/>
      <c r="D260" s="15"/>
      <c r="E260" s="14"/>
      <c r="F260" s="16"/>
    </row>
    <row r="261" spans="1:6" s="20" customFormat="1" x14ac:dyDescent="0.45">
      <c r="A261" s="15"/>
      <c r="B261" s="17" t="s">
        <v>355</v>
      </c>
      <c r="C261" s="17"/>
      <c r="D261" s="15"/>
      <c r="E261" s="14"/>
      <c r="F261" s="16"/>
    </row>
    <row r="262" spans="1:6" s="20" customFormat="1" x14ac:dyDescent="0.45">
      <c r="A262" s="15"/>
      <c r="B262" s="17" t="s">
        <v>356</v>
      </c>
      <c r="C262" s="17"/>
      <c r="D262" s="15"/>
      <c r="E262" s="14"/>
      <c r="F262" s="16"/>
    </row>
    <row r="263" spans="1:6" s="20" customFormat="1" x14ac:dyDescent="0.45">
      <c r="A263" s="15"/>
      <c r="B263" s="17" t="s">
        <v>357</v>
      </c>
      <c r="C263" s="17"/>
      <c r="D263" s="15"/>
      <c r="E263" s="14"/>
      <c r="F263" s="16"/>
    </row>
    <row r="264" spans="1:6" s="20" customFormat="1" x14ac:dyDescent="0.45">
      <c r="A264" s="15"/>
      <c r="B264" s="17" t="s">
        <v>358</v>
      </c>
      <c r="C264" s="17"/>
      <c r="D264" s="15"/>
      <c r="E264" s="14"/>
      <c r="F264" s="16"/>
    </row>
    <row r="265" spans="1:6" s="20" customFormat="1" x14ac:dyDescent="0.45">
      <c r="A265" s="15"/>
      <c r="B265" s="17" t="s">
        <v>359</v>
      </c>
      <c r="C265" s="17"/>
      <c r="D265" s="15"/>
      <c r="E265" s="14"/>
      <c r="F265" s="16"/>
    </row>
    <row r="266" spans="1:6" s="20" customFormat="1" x14ac:dyDescent="0.45">
      <c r="A266" s="15"/>
      <c r="B266" s="17" t="s">
        <v>360</v>
      </c>
      <c r="C266" s="17"/>
      <c r="D266" s="15"/>
      <c r="E266" s="14"/>
      <c r="F266" s="16"/>
    </row>
    <row r="267" spans="1:6" s="20" customFormat="1" x14ac:dyDescent="0.45">
      <c r="A267" s="15"/>
      <c r="B267" s="17" t="s">
        <v>361</v>
      </c>
      <c r="C267" s="17"/>
      <c r="D267" s="15"/>
      <c r="E267" s="14"/>
      <c r="F267" s="16"/>
    </row>
    <row r="268" spans="1:6" s="20" customFormat="1" x14ac:dyDescent="0.45">
      <c r="A268" s="15"/>
      <c r="B268" s="17" t="s">
        <v>362</v>
      </c>
      <c r="C268" s="17"/>
      <c r="D268" s="15"/>
      <c r="E268" s="14"/>
      <c r="F268" s="16"/>
    </row>
    <row r="269" spans="1:6" s="20" customFormat="1" x14ac:dyDescent="0.45">
      <c r="A269" s="15"/>
      <c r="B269" s="17" t="s">
        <v>363</v>
      </c>
      <c r="C269" s="17"/>
      <c r="D269" s="15"/>
      <c r="E269" s="14"/>
      <c r="F269" s="16"/>
    </row>
    <row r="270" spans="1:6" s="20" customFormat="1" x14ac:dyDescent="0.45">
      <c r="A270" s="15"/>
      <c r="B270" s="17" t="s">
        <v>364</v>
      </c>
      <c r="C270" s="17"/>
      <c r="D270" s="15"/>
      <c r="E270" s="14"/>
      <c r="F270" s="16"/>
    </row>
    <row r="271" spans="1:6" s="20" customFormat="1" x14ac:dyDescent="0.45">
      <c r="A271" s="15"/>
      <c r="B271" s="17" t="s">
        <v>365</v>
      </c>
      <c r="C271" s="17"/>
      <c r="D271" s="15"/>
      <c r="E271" s="14"/>
      <c r="F271" s="16"/>
    </row>
    <row r="272" spans="1:6" s="20" customFormat="1" x14ac:dyDescent="0.45">
      <c r="A272" s="15"/>
      <c r="B272" s="17" t="s">
        <v>366</v>
      </c>
      <c r="C272" s="17"/>
      <c r="D272" s="15"/>
      <c r="E272" s="14"/>
      <c r="F272" s="16"/>
    </row>
    <row r="273" spans="1:6" s="20" customFormat="1" x14ac:dyDescent="0.45">
      <c r="A273" s="15"/>
      <c r="B273" s="17" t="s">
        <v>367</v>
      </c>
      <c r="C273" s="17"/>
      <c r="D273" s="15"/>
      <c r="E273" s="14"/>
      <c r="F273" s="16" t="s">
        <v>333</v>
      </c>
    </row>
    <row r="274" spans="1:6" s="20" customFormat="1" x14ac:dyDescent="0.45">
      <c r="A274" s="15"/>
      <c r="B274" s="17" t="s">
        <v>368</v>
      </c>
      <c r="C274" s="17"/>
      <c r="D274" s="15"/>
      <c r="E274" s="14"/>
      <c r="F274" s="16"/>
    </row>
    <row r="275" spans="1:6" s="20" customFormat="1" x14ac:dyDescent="0.45">
      <c r="A275" s="15"/>
      <c r="B275" s="17" t="s">
        <v>369</v>
      </c>
      <c r="C275" s="17"/>
      <c r="D275" s="15"/>
      <c r="E275" s="14"/>
      <c r="F275" s="16"/>
    </row>
    <row r="276" spans="1:6" s="20" customFormat="1" x14ac:dyDescent="0.45">
      <c r="A276" s="15"/>
      <c r="B276" s="17" t="s">
        <v>370</v>
      </c>
      <c r="C276" s="17"/>
      <c r="D276" s="15"/>
      <c r="E276" s="14"/>
      <c r="F276" s="16"/>
    </row>
    <row r="277" spans="1:6" s="20" customFormat="1" x14ac:dyDescent="0.45">
      <c r="A277" s="15"/>
      <c r="B277" s="17" t="s">
        <v>371</v>
      </c>
      <c r="C277" s="17"/>
      <c r="D277" s="15"/>
      <c r="E277" s="14"/>
      <c r="F277" s="16" t="s">
        <v>333</v>
      </c>
    </row>
    <row r="278" spans="1:6" s="20" customFormat="1" x14ac:dyDescent="0.45">
      <c r="A278" s="15"/>
      <c r="B278" s="17" t="s">
        <v>372</v>
      </c>
      <c r="C278" s="17"/>
      <c r="D278" s="15"/>
      <c r="E278" s="14"/>
      <c r="F278" s="16"/>
    </row>
    <row r="279" spans="1:6" s="20" customFormat="1" x14ac:dyDescent="0.45">
      <c r="A279" s="15"/>
      <c r="B279" s="17" t="s">
        <v>373</v>
      </c>
      <c r="C279" s="17"/>
      <c r="D279" s="15"/>
      <c r="E279" s="14"/>
      <c r="F279" s="16"/>
    </row>
    <row r="280" spans="1:6" s="20" customFormat="1" x14ac:dyDescent="0.45">
      <c r="A280" s="15"/>
      <c r="B280" s="17" t="s">
        <v>374</v>
      </c>
      <c r="C280" s="17"/>
      <c r="D280" s="15"/>
      <c r="E280" s="14"/>
      <c r="F280" s="16"/>
    </row>
    <row r="281" spans="1:6" s="20" customFormat="1" x14ac:dyDescent="0.45">
      <c r="A281" s="15"/>
      <c r="B281" s="17" t="s">
        <v>375</v>
      </c>
      <c r="C281" s="17"/>
      <c r="D281" s="15"/>
      <c r="E281" s="14"/>
      <c r="F281" s="16" t="s">
        <v>333</v>
      </c>
    </row>
    <row r="282" spans="1:6" s="20" customFormat="1" x14ac:dyDescent="0.45">
      <c r="A282" s="15"/>
      <c r="B282" s="17" t="s">
        <v>376</v>
      </c>
      <c r="C282" s="17"/>
      <c r="D282" s="15"/>
      <c r="E282" s="14"/>
      <c r="F282" s="16"/>
    </row>
    <row r="283" spans="1:6" s="20" customFormat="1" x14ac:dyDescent="0.45">
      <c r="A283" s="15"/>
      <c r="B283" s="17" t="s">
        <v>377</v>
      </c>
      <c r="C283" s="17"/>
      <c r="D283" s="15"/>
      <c r="E283" s="14"/>
      <c r="F283" s="16"/>
    </row>
    <row r="284" spans="1:6" s="20" customFormat="1" x14ac:dyDescent="0.45">
      <c r="A284" s="15"/>
      <c r="B284" s="17" t="s">
        <v>378</v>
      </c>
      <c r="C284" s="17"/>
      <c r="D284" s="15"/>
      <c r="E284" s="14"/>
      <c r="F284" s="16"/>
    </row>
    <row r="285" spans="1:6" s="20" customFormat="1" x14ac:dyDescent="0.45">
      <c r="A285" s="15"/>
      <c r="B285" s="17" t="s">
        <v>379</v>
      </c>
      <c r="C285" s="17"/>
      <c r="D285" s="15"/>
      <c r="E285" s="14"/>
      <c r="F285" s="16"/>
    </row>
    <row r="286" spans="1:6" s="20" customFormat="1" x14ac:dyDescent="0.45">
      <c r="A286" s="15"/>
      <c r="B286" s="17" t="s">
        <v>380</v>
      </c>
      <c r="C286" s="17"/>
      <c r="D286" s="15"/>
      <c r="E286" s="14"/>
      <c r="F286" s="16"/>
    </row>
    <row r="287" spans="1:6" s="20" customFormat="1" x14ac:dyDescent="0.45">
      <c r="A287" s="15"/>
      <c r="B287" s="17" t="s">
        <v>381</v>
      </c>
      <c r="C287" s="17"/>
      <c r="D287" s="15"/>
      <c r="E287" s="14"/>
      <c r="F287" s="16" t="s">
        <v>333</v>
      </c>
    </row>
    <row r="288" spans="1:6" s="20" customFormat="1" x14ac:dyDescent="0.45">
      <c r="A288" s="15"/>
      <c r="B288" s="17" t="s">
        <v>382</v>
      </c>
      <c r="C288" s="17"/>
      <c r="D288" s="15"/>
      <c r="E288" s="14"/>
      <c r="F288" s="16" t="s">
        <v>333</v>
      </c>
    </row>
    <row r="289" spans="1:6" s="20" customFormat="1" x14ac:dyDescent="0.45">
      <c r="A289" s="15"/>
      <c r="B289" s="26" t="s">
        <v>383</v>
      </c>
      <c r="C289" s="26"/>
      <c r="D289" s="15"/>
      <c r="E289" s="14"/>
      <c r="F289" s="16"/>
    </row>
    <row r="290" spans="1:6" s="20" customFormat="1" ht="28.5" x14ac:dyDescent="0.45">
      <c r="A290" s="15"/>
      <c r="B290" s="17" t="s">
        <v>384</v>
      </c>
      <c r="C290" s="17" t="s">
        <v>385</v>
      </c>
      <c r="D290" s="15"/>
      <c r="E290" s="14"/>
      <c r="F290" s="16"/>
    </row>
    <row r="291" spans="1:6" s="20" customFormat="1" ht="28.5" x14ac:dyDescent="0.45">
      <c r="A291" s="15"/>
      <c r="B291" s="26" t="s">
        <v>386</v>
      </c>
      <c r="C291" s="26"/>
      <c r="D291" s="15"/>
      <c r="E291" s="14" t="s">
        <v>387</v>
      </c>
      <c r="F291" s="16" t="s">
        <v>333</v>
      </c>
    </row>
    <row r="292" spans="1:6" s="20" customFormat="1" x14ac:dyDescent="0.45">
      <c r="A292" s="15"/>
      <c r="B292" s="17" t="s">
        <v>388</v>
      </c>
      <c r="C292" s="17"/>
      <c r="D292" s="15"/>
      <c r="E292" s="14"/>
      <c r="F292" s="16"/>
    </row>
    <row r="293" spans="1:6" s="20" customFormat="1" x14ac:dyDescent="0.45">
      <c r="A293" s="15"/>
      <c r="B293" s="17" t="s">
        <v>389</v>
      </c>
      <c r="C293" s="17"/>
      <c r="D293" s="15"/>
      <c r="E293" s="14"/>
      <c r="F293" s="16" t="s">
        <v>333</v>
      </c>
    </row>
    <row r="294" spans="1:6" s="20" customFormat="1" x14ac:dyDescent="0.45">
      <c r="A294" s="15"/>
      <c r="B294" s="17" t="s">
        <v>390</v>
      </c>
      <c r="C294" s="17"/>
      <c r="D294" s="15"/>
      <c r="E294" s="14"/>
      <c r="F294" s="16" t="s">
        <v>333</v>
      </c>
    </row>
    <row r="295" spans="1:6" s="20" customFormat="1" x14ac:dyDescent="0.45">
      <c r="A295" s="15"/>
      <c r="B295" s="17" t="s">
        <v>391</v>
      </c>
      <c r="C295" s="17"/>
      <c r="D295" s="15"/>
      <c r="E295" s="14"/>
      <c r="F295" s="16" t="s">
        <v>333</v>
      </c>
    </row>
    <row r="296" spans="1:6" s="20" customFormat="1" x14ac:dyDescent="0.45">
      <c r="A296" s="15"/>
      <c r="B296" s="17" t="s">
        <v>392</v>
      </c>
      <c r="C296" s="17"/>
      <c r="D296" s="15"/>
      <c r="E296" s="14"/>
      <c r="F296" s="16" t="s">
        <v>333</v>
      </c>
    </row>
    <row r="297" spans="1:6" s="20" customFormat="1" x14ac:dyDescent="0.45">
      <c r="A297" s="15"/>
      <c r="B297" s="17" t="s">
        <v>393</v>
      </c>
      <c r="C297" s="17"/>
      <c r="D297" s="15"/>
      <c r="E297" s="14"/>
      <c r="F297" s="16" t="s">
        <v>333</v>
      </c>
    </row>
    <row r="298" spans="1:6" s="20" customFormat="1" x14ac:dyDescent="0.45">
      <c r="A298" s="15"/>
      <c r="B298" s="17" t="s">
        <v>394</v>
      </c>
      <c r="C298" s="17"/>
      <c r="D298" s="15"/>
      <c r="E298" s="14"/>
      <c r="F298" s="16" t="s">
        <v>333</v>
      </c>
    </row>
    <row r="299" spans="1:6" s="20" customFormat="1" x14ac:dyDescent="0.45">
      <c r="A299" s="15"/>
      <c r="B299" s="17" t="s">
        <v>395</v>
      </c>
      <c r="C299" s="17"/>
      <c r="D299" s="15"/>
      <c r="E299" s="14"/>
      <c r="F299" s="16" t="s">
        <v>333</v>
      </c>
    </row>
    <row r="300" spans="1:6" s="20" customFormat="1" x14ac:dyDescent="0.45">
      <c r="A300" s="15"/>
      <c r="B300" s="17" t="s">
        <v>396</v>
      </c>
      <c r="C300" s="17"/>
      <c r="D300" s="15"/>
      <c r="E300" s="14"/>
      <c r="F300" s="16" t="s">
        <v>333</v>
      </c>
    </row>
    <row r="301" spans="1:6" s="20" customFormat="1" ht="28.5" x14ac:dyDescent="0.45">
      <c r="A301" s="15"/>
      <c r="B301" s="17" t="s">
        <v>397</v>
      </c>
      <c r="C301" s="17"/>
      <c r="D301" s="15"/>
      <c r="E301" s="14"/>
      <c r="F301" s="16" t="s">
        <v>333</v>
      </c>
    </row>
    <row r="302" spans="1:6" s="20" customFormat="1" ht="28.5" x14ac:dyDescent="0.45">
      <c r="A302" s="15"/>
      <c r="B302" s="17" t="s">
        <v>398</v>
      </c>
      <c r="C302" s="17"/>
      <c r="D302" s="15"/>
      <c r="E302" s="14"/>
      <c r="F302" s="16" t="s">
        <v>333</v>
      </c>
    </row>
    <row r="303" spans="1:6" s="20" customFormat="1" x14ac:dyDescent="0.45">
      <c r="A303" s="15"/>
      <c r="B303" s="17" t="s">
        <v>399</v>
      </c>
      <c r="C303" s="17"/>
      <c r="D303" s="15"/>
      <c r="E303" s="14"/>
      <c r="F303" s="16" t="s">
        <v>333</v>
      </c>
    </row>
    <row r="304" spans="1:6" s="20" customFormat="1" x14ac:dyDescent="0.45">
      <c r="A304" s="15"/>
      <c r="B304" s="17" t="s">
        <v>400</v>
      </c>
      <c r="C304" s="17"/>
      <c r="D304" s="15"/>
      <c r="E304" s="14"/>
      <c r="F304" s="16" t="s">
        <v>333</v>
      </c>
    </row>
    <row r="305" spans="1:6" s="20" customFormat="1" x14ac:dyDescent="0.45">
      <c r="A305" s="15"/>
      <c r="B305" s="17" t="s">
        <v>401</v>
      </c>
      <c r="C305" s="17"/>
      <c r="D305" s="15"/>
      <c r="E305" s="14"/>
      <c r="F305" s="16" t="s">
        <v>333</v>
      </c>
    </row>
    <row r="306" spans="1:6" s="20" customFormat="1" x14ac:dyDescent="0.45">
      <c r="A306" s="15"/>
      <c r="B306" s="17" t="s">
        <v>402</v>
      </c>
      <c r="C306" s="17"/>
      <c r="D306" s="15"/>
      <c r="E306" s="14"/>
      <c r="F306" s="16"/>
    </row>
    <row r="307" spans="1:6" s="20" customFormat="1" x14ac:dyDescent="0.45">
      <c r="A307" s="15"/>
      <c r="B307" s="17" t="s">
        <v>403</v>
      </c>
      <c r="C307" s="17"/>
      <c r="D307" s="15"/>
      <c r="E307" s="14"/>
      <c r="F307" s="16"/>
    </row>
    <row r="308" spans="1:6" s="20" customFormat="1" x14ac:dyDescent="0.45">
      <c r="A308" s="15"/>
      <c r="B308" s="17" t="s">
        <v>404</v>
      </c>
      <c r="C308" s="17"/>
      <c r="D308" s="15"/>
      <c r="E308" s="14"/>
      <c r="F308" s="16"/>
    </row>
    <row r="309" spans="1:6" s="20" customFormat="1" x14ac:dyDescent="0.45">
      <c r="A309" s="15"/>
      <c r="B309" s="17" t="s">
        <v>405</v>
      </c>
      <c r="C309" s="17"/>
      <c r="D309" s="15"/>
      <c r="E309" s="14"/>
      <c r="F309" s="16"/>
    </row>
    <row r="310" spans="1:6" s="20" customFormat="1" x14ac:dyDescent="0.45">
      <c r="A310" s="15"/>
      <c r="B310" s="17" t="s">
        <v>406</v>
      </c>
      <c r="C310" s="17"/>
      <c r="D310" s="15"/>
      <c r="E310" s="14"/>
      <c r="F310" s="16"/>
    </row>
    <row r="311" spans="1:6" s="20" customFormat="1" x14ac:dyDescent="0.45">
      <c r="A311" s="15"/>
      <c r="B311" s="17" t="s">
        <v>407</v>
      </c>
      <c r="C311" s="17"/>
      <c r="D311" s="15"/>
      <c r="E311" s="14"/>
      <c r="F311" s="16"/>
    </row>
    <row r="312" spans="1:6" s="20" customFormat="1" x14ac:dyDescent="0.45">
      <c r="B312" s="23" t="s">
        <v>408</v>
      </c>
      <c r="C312" s="23"/>
      <c r="D312" s="15"/>
      <c r="E312" s="14"/>
      <c r="F312" s="16"/>
    </row>
    <row r="313" spans="1:6" s="20" customFormat="1" x14ac:dyDescent="0.45">
      <c r="B313" s="23" t="s">
        <v>409</v>
      </c>
      <c r="C313" s="23"/>
      <c r="D313" s="15"/>
      <c r="E313" s="14"/>
      <c r="F313" s="16"/>
    </row>
    <row r="314" spans="1:6" s="20" customFormat="1" x14ac:dyDescent="0.45">
      <c r="B314" s="28" t="s">
        <v>410</v>
      </c>
      <c r="C314" s="28"/>
      <c r="D314" s="15"/>
      <c r="E314" s="14"/>
      <c r="F314" s="16"/>
    </row>
    <row r="315" spans="1:6" s="20" customFormat="1" x14ac:dyDescent="0.45">
      <c r="B315" s="32" t="s">
        <v>410</v>
      </c>
      <c r="C315" s="32"/>
      <c r="D315" s="15"/>
      <c r="E315" s="14"/>
      <c r="F315" s="16"/>
    </row>
    <row r="316" spans="1:6" s="20" customFormat="1" x14ac:dyDescent="0.45">
      <c r="B316" s="32" t="s">
        <v>410</v>
      </c>
      <c r="C316" s="32"/>
      <c r="D316" s="15"/>
      <c r="E316" s="14"/>
      <c r="F316" s="16"/>
    </row>
    <row r="317" spans="1:6" s="20" customFormat="1" x14ac:dyDescent="0.45">
      <c r="B317" s="32" t="s">
        <v>410</v>
      </c>
      <c r="C317" s="32"/>
      <c r="D317" s="15"/>
      <c r="E317" s="14"/>
      <c r="F317" s="16"/>
    </row>
    <row r="318" spans="1:6" s="20" customFormat="1" x14ac:dyDescent="0.45">
      <c r="B318" s="32" t="s">
        <v>410</v>
      </c>
      <c r="C318" s="32"/>
      <c r="D318" s="15"/>
      <c r="E318" s="14"/>
      <c r="F318" s="16"/>
    </row>
    <row r="319" spans="1:6" s="20" customFormat="1" ht="28.5" x14ac:dyDescent="0.45">
      <c r="B319" s="17" t="s">
        <v>411</v>
      </c>
      <c r="C319" s="17"/>
      <c r="D319" s="15"/>
      <c r="E319" s="14"/>
      <c r="F319" s="16"/>
    </row>
    <row r="320" spans="1:6" s="20" customFormat="1" ht="28.5" x14ac:dyDescent="0.45">
      <c r="A320" s="15"/>
      <c r="B320" s="17" t="s">
        <v>412</v>
      </c>
      <c r="C320" s="17"/>
      <c r="D320" s="15"/>
      <c r="E320" s="14"/>
      <c r="F320" s="16"/>
    </row>
    <row r="321" spans="1:6" s="20" customFormat="1" ht="28.5" x14ac:dyDescent="0.45">
      <c r="B321" s="17" t="s">
        <v>413</v>
      </c>
      <c r="C321" s="17"/>
      <c r="D321" s="15"/>
      <c r="E321" s="14"/>
      <c r="F321" s="16"/>
    </row>
    <row r="322" spans="1:6" s="20" customFormat="1" ht="28.5" x14ac:dyDescent="0.45">
      <c r="B322" s="17" t="s">
        <v>414</v>
      </c>
      <c r="C322" s="17"/>
      <c r="D322" s="15"/>
      <c r="E322" s="14"/>
      <c r="F322" s="16"/>
    </row>
    <row r="323" spans="1:6" s="20" customFormat="1" ht="28.5" x14ac:dyDescent="0.45">
      <c r="B323" s="17" t="s">
        <v>415</v>
      </c>
      <c r="C323" s="17"/>
      <c r="D323" s="15"/>
      <c r="E323" s="14"/>
      <c r="F323" s="16"/>
    </row>
    <row r="324" spans="1:6" s="20" customFormat="1" ht="28.5" x14ac:dyDescent="0.45">
      <c r="A324" s="15"/>
      <c r="B324" s="17" t="s">
        <v>416</v>
      </c>
      <c r="C324" s="17"/>
      <c r="D324" s="15"/>
      <c r="E324" s="14"/>
      <c r="F324" s="16"/>
    </row>
    <row r="325" spans="1:6" s="20" customFormat="1" ht="28.5" x14ac:dyDescent="0.45">
      <c r="A325" s="15"/>
      <c r="B325" s="17" t="s">
        <v>417</v>
      </c>
      <c r="C325" s="17"/>
      <c r="D325" s="15"/>
      <c r="E325" s="14"/>
      <c r="F325" s="16"/>
    </row>
    <row r="326" spans="1:6" s="20" customFormat="1" ht="28.5" x14ac:dyDescent="0.45">
      <c r="A326" s="15"/>
      <c r="B326" s="17" t="s">
        <v>418</v>
      </c>
      <c r="C326" s="17"/>
      <c r="D326" s="15"/>
      <c r="E326" s="14"/>
      <c r="F326" s="16"/>
    </row>
    <row r="327" spans="1:6" s="20" customFormat="1" ht="28.5" x14ac:dyDescent="0.45">
      <c r="A327" s="15"/>
      <c r="B327" s="17" t="s">
        <v>419</v>
      </c>
      <c r="C327" s="17"/>
      <c r="D327" s="15"/>
      <c r="E327" s="14"/>
      <c r="F327" s="16"/>
    </row>
    <row r="328" spans="1:6" s="20" customFormat="1" x14ac:dyDescent="0.45">
      <c r="A328" s="15"/>
      <c r="B328" s="26" t="s">
        <v>420</v>
      </c>
      <c r="C328" s="26"/>
      <c r="D328" s="15"/>
      <c r="E328" s="14"/>
      <c r="F328" s="16"/>
    </row>
    <row r="329" spans="1:6" x14ac:dyDescent="0.45">
      <c r="B329" s="26" t="s">
        <v>421</v>
      </c>
      <c r="C329" s="26"/>
      <c r="F329" s="16"/>
    </row>
    <row r="330" spans="1:6" ht="28.5" x14ac:dyDescent="0.45">
      <c r="B330" s="15" t="s">
        <v>422</v>
      </c>
      <c r="C330" s="15" t="s">
        <v>423</v>
      </c>
      <c r="F330" s="16"/>
    </row>
    <row r="331" spans="1:6" x14ac:dyDescent="0.45">
      <c r="B331" s="19" t="s">
        <v>424</v>
      </c>
      <c r="C331" s="15" t="s">
        <v>425</v>
      </c>
      <c r="F331" s="16"/>
    </row>
    <row r="332" spans="1:6" x14ac:dyDescent="0.45">
      <c r="A332" s="15" t="s">
        <v>426</v>
      </c>
      <c r="B332" s="33" t="s">
        <v>443</v>
      </c>
      <c r="D332" s="15" t="s">
        <v>426</v>
      </c>
      <c r="E332" s="14" t="s">
        <v>427</v>
      </c>
      <c r="F332" s="16"/>
    </row>
    <row r="333" spans="1:6" x14ac:dyDescent="0.45">
      <c r="A333" s="15" t="s">
        <v>428</v>
      </c>
      <c r="B333" s="33" t="s">
        <v>444</v>
      </c>
      <c r="D333" s="15" t="s">
        <v>428</v>
      </c>
      <c r="E333" s="14" t="s">
        <v>427</v>
      </c>
      <c r="F333" s="16"/>
    </row>
    <row r="334" spans="1:6" x14ac:dyDescent="0.45">
      <c r="A334" s="15" t="s">
        <v>429</v>
      </c>
      <c r="B334" s="33" t="s">
        <v>445</v>
      </c>
      <c r="D334" s="15" t="s">
        <v>429</v>
      </c>
      <c r="E334" s="14" t="s">
        <v>427</v>
      </c>
      <c r="F334" s="16"/>
    </row>
    <row r="335" spans="1:6" x14ac:dyDescent="0.45">
      <c r="A335" s="15" t="s">
        <v>430</v>
      </c>
      <c r="B335" s="14" t="s">
        <v>430</v>
      </c>
      <c r="D335" s="15" t="s">
        <v>430</v>
      </c>
      <c r="E335" s="14" t="s">
        <v>427</v>
      </c>
      <c r="F335" s="16"/>
    </row>
    <row r="336" spans="1:6" s="35" customFormat="1" x14ac:dyDescent="0.45">
      <c r="A336" s="34"/>
      <c r="D336" s="34"/>
      <c r="F336" s="36"/>
    </row>
    <row r="337" spans="1:6" x14ac:dyDescent="0.45">
      <c r="A337" s="37" t="s">
        <v>431</v>
      </c>
      <c r="B337" s="33" t="s">
        <v>450</v>
      </c>
      <c r="D337" s="37" t="s">
        <v>431</v>
      </c>
      <c r="E337" s="14">
        <f>COUNTIF($E$2:$E$336,"A")</f>
        <v>0</v>
      </c>
      <c r="F337" s="16">
        <f>COUNTIF($F$2:$F$336,"")</f>
        <v>283</v>
      </c>
    </row>
    <row r="338" spans="1:6" x14ac:dyDescent="0.45">
      <c r="A338" s="37" t="s">
        <v>432</v>
      </c>
      <c r="B338" s="33" t="s">
        <v>451</v>
      </c>
      <c r="D338" s="37" t="s">
        <v>432</v>
      </c>
      <c r="E338" s="14">
        <f>COUNTIF($E$2:$E$336,"AA")</f>
        <v>0</v>
      </c>
      <c r="F338" s="16">
        <f>COUNTIF($F$2:$F$336,"open")</f>
        <v>27</v>
      </c>
    </row>
    <row r="339" spans="1:6" s="20" customFormat="1" x14ac:dyDescent="0.45">
      <c r="A339" s="37" t="s">
        <v>433</v>
      </c>
      <c r="B339" s="38" t="s">
        <v>452</v>
      </c>
      <c r="D339" s="37" t="s">
        <v>433</v>
      </c>
      <c r="E339" s="20">
        <f>COUNTIF($E$2:$E$336,"AAA")</f>
        <v>0</v>
      </c>
      <c r="F339" s="16">
        <f>COUNTIF($F$2:$F$336,"closed")</f>
        <v>25</v>
      </c>
    </row>
    <row r="340" spans="1:6" s="15" customFormat="1" x14ac:dyDescent="0.45">
      <c r="A340" s="37" t="s">
        <v>434</v>
      </c>
      <c r="B340" s="15" t="s">
        <v>446</v>
      </c>
      <c r="D340" s="37" t="s">
        <v>434</v>
      </c>
      <c r="E340" s="15">
        <f>COUNTIF($E$2:$E$336,"shall")</f>
        <v>38</v>
      </c>
      <c r="F340" s="16"/>
    </row>
    <row r="341" spans="1:6" s="39" customFormat="1" x14ac:dyDescent="0.45">
      <c r="A341" s="34" t="s">
        <v>435</v>
      </c>
      <c r="B341" s="39" t="s">
        <v>447</v>
      </c>
      <c r="D341" s="34" t="s">
        <v>435</v>
      </c>
      <c r="E341" s="39">
        <f>COUNTIF($E$2:$E$336,"should")</f>
        <v>1</v>
      </c>
      <c r="F341" s="40"/>
    </row>
    <row r="342" spans="1:6" x14ac:dyDescent="0.45">
      <c r="A342" s="37" t="s">
        <v>436</v>
      </c>
      <c r="B342" s="33" t="s">
        <v>448</v>
      </c>
      <c r="D342" s="37" t="s">
        <v>436</v>
      </c>
      <c r="E342" s="14">
        <f>SUM(E337:E341)</f>
        <v>39</v>
      </c>
      <c r="F342" s="16">
        <f t="shared" ref="F342" si="0">SUM(F337:F341)</f>
        <v>335</v>
      </c>
    </row>
    <row r="343" spans="1:6" s="35" customFormat="1" x14ac:dyDescent="0.45">
      <c r="A343" s="34" t="s">
        <v>437</v>
      </c>
      <c r="B343" s="41" t="s">
        <v>449</v>
      </c>
      <c r="D343" s="34" t="s">
        <v>437</v>
      </c>
      <c r="E343" s="35">
        <f>E342-E339-E341</f>
        <v>38</v>
      </c>
      <c r="F343" s="36"/>
    </row>
  </sheetData>
  <autoFilter ref="A1:F1" xr:uid="{00000000-0009-0000-0000-000001000000}"/>
  <phoneticPr fontId="19" type="noConversion"/>
  <conditionalFormatting sqref="A1:B1048576">
    <cfRule type="cellIs" dxfId="0" priority="1" operator="equal">
      <formula>""</formula>
    </cfRule>
  </conditionalFormatting>
  <pageMargins left="0.7" right="0.7" top="0.78740157500000008" bottom="0.78740157500000008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3C31-256B-4FBC-971D-951BAA2CE278}">
  <dimension ref="A1:A3"/>
  <sheetViews>
    <sheetView tabSelected="1" workbookViewId="0">
      <selection activeCell="A10" sqref="A10"/>
    </sheetView>
  </sheetViews>
  <sheetFormatPr baseColWidth="10" defaultRowHeight="14.25" x14ac:dyDescent="0.45"/>
  <cols>
    <col min="1" max="1" width="98.9296875" style="14" customWidth="1"/>
  </cols>
  <sheetData>
    <row r="1" spans="1:1" ht="28.5" x14ac:dyDescent="0.45">
      <c r="A1" s="42" t="s">
        <v>491</v>
      </c>
    </row>
    <row r="2" spans="1:1" ht="28.5" x14ac:dyDescent="0.45">
      <c r="A2" s="42" t="s">
        <v>490</v>
      </c>
    </row>
    <row r="3" spans="1:1" ht="28.5" x14ac:dyDescent="0.45">
      <c r="A3" s="42" t="s">
        <v>489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Foreword</vt:lpstr>
      <vt:lpstr>Web test automation matrix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12</cp:revision>
  <dcterms:created xsi:type="dcterms:W3CDTF">2020-03-02T11:11:42Z</dcterms:created>
  <dcterms:modified xsi:type="dcterms:W3CDTF">2026-07-30T07:53:42Z</dcterms:modified>
</cp:coreProperties>
</file>